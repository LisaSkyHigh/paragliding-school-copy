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11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34B2\"/>
    </mc:Choice>
  </mc:AlternateContent>
  <xr:revisionPtr revIDLastSave="0" documentId="8_{F8A7E4B1-85CA-4F0B-A322-245F32EA6A41}" xr6:coauthVersionLast="47" xr6:coauthVersionMax="47" xr10:uidLastSave="{00000000-0000-0000-0000-000000000000}"/>
  <bookViews>
    <workbookView xWindow="-120" yWindow="-120" windowWidth="15600" windowHeight="11760" firstSheet="2" activeTab="1" xr2:uid="{00000000-000D-0000-FFFF-FFFF00000000}"/>
  </bookViews>
  <sheets>
    <sheet name="Rev history" sheetId="3" r:id="rId1"/>
    <sheet name="Check sheet" sheetId="4" r:id="rId2"/>
    <sheet name="Line lengths" sheetId="2" r:id="rId3"/>
    <sheet name="Line load calc" sheetId="5" r:id="rId4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8" i="5" l="1"/>
  <c r="F97" i="5"/>
  <c r="F96" i="5"/>
  <c r="F95" i="5"/>
  <c r="F94" i="5"/>
  <c r="F93" i="5"/>
  <c r="F92" i="5"/>
  <c r="F91" i="5"/>
  <c r="F86" i="5"/>
  <c r="F87" i="5"/>
  <c r="K86" i="5"/>
  <c r="G86" i="5"/>
  <c r="O86" i="5"/>
  <c r="F84" i="5"/>
  <c r="F85" i="5"/>
  <c r="K84" i="5"/>
  <c r="G84" i="5"/>
  <c r="O84" i="5"/>
  <c r="G79" i="5"/>
  <c r="H80" i="5"/>
  <c r="H74" i="5"/>
  <c r="G76" i="5"/>
  <c r="G73" i="5"/>
  <c r="H52" i="5"/>
  <c r="H69" i="5"/>
  <c r="G63" i="5"/>
  <c r="G54" i="5"/>
  <c r="G51" i="5"/>
  <c r="H36" i="5"/>
  <c r="H30" i="5"/>
  <c r="G29" i="5"/>
  <c r="G32" i="5"/>
  <c r="F78" i="5"/>
  <c r="F79" i="5"/>
  <c r="F80" i="5"/>
  <c r="F81" i="5"/>
  <c r="F82" i="5"/>
  <c r="F83" i="5"/>
  <c r="F88" i="5"/>
  <c r="K82" i="5"/>
  <c r="G82" i="5"/>
  <c r="O82" i="5"/>
  <c r="L80" i="5"/>
  <c r="P80" i="5"/>
  <c r="K79" i="5"/>
  <c r="O79" i="5"/>
  <c r="F77" i="5"/>
  <c r="F75" i="5"/>
  <c r="F76" i="5"/>
  <c r="K76" i="5"/>
  <c r="O76" i="5"/>
  <c r="L74" i="5"/>
  <c r="P74" i="5"/>
  <c r="F74" i="5"/>
  <c r="F72" i="5"/>
  <c r="F73" i="5"/>
  <c r="K73" i="5"/>
  <c r="O73" i="5"/>
  <c r="H58" i="5"/>
  <c r="H64" i="5"/>
  <c r="G60" i="5"/>
  <c r="F69" i="5"/>
  <c r="F68" i="5"/>
  <c r="K68" i="5"/>
  <c r="G69" i="5"/>
  <c r="O68" i="5"/>
  <c r="F67" i="5"/>
  <c r="F65" i="5"/>
  <c r="F66" i="5"/>
  <c r="K66" i="5"/>
  <c r="G66" i="5"/>
  <c r="O66" i="5"/>
  <c r="L64" i="5"/>
  <c r="P64" i="5"/>
  <c r="F64" i="5"/>
  <c r="F62" i="5"/>
  <c r="F63" i="5"/>
  <c r="K63" i="5"/>
  <c r="O63" i="5"/>
  <c r="F61" i="5"/>
  <c r="F59" i="5"/>
  <c r="F60" i="5"/>
  <c r="K60" i="5"/>
  <c r="O60" i="5"/>
  <c r="G57" i="5"/>
  <c r="L58" i="5"/>
  <c r="P58" i="5"/>
  <c r="F58" i="5"/>
  <c r="F56" i="5"/>
  <c r="F57" i="5"/>
  <c r="K57" i="5"/>
  <c r="O57" i="5"/>
  <c r="F55" i="5"/>
  <c r="F53" i="5"/>
  <c r="F54" i="5"/>
  <c r="K54" i="5"/>
  <c r="O54" i="5"/>
  <c r="L52" i="5"/>
  <c r="P52" i="5"/>
  <c r="F52" i="5"/>
  <c r="F50" i="5"/>
  <c r="F51" i="5"/>
  <c r="K51" i="5"/>
  <c r="O51" i="5"/>
  <c r="F47" i="5"/>
  <c r="F46" i="5"/>
  <c r="K46" i="5"/>
  <c r="G46" i="5"/>
  <c r="O46" i="5"/>
  <c r="F45" i="5"/>
  <c r="F43" i="5"/>
  <c r="F44" i="5"/>
  <c r="K44" i="5"/>
  <c r="G44" i="5"/>
  <c r="O44" i="5"/>
  <c r="G41" i="5"/>
  <c r="L42" i="5"/>
  <c r="H42" i="5"/>
  <c r="P42" i="5"/>
  <c r="F42" i="5"/>
  <c r="F40" i="5"/>
  <c r="F41" i="5"/>
  <c r="K41" i="5"/>
  <c r="O41" i="5"/>
  <c r="F39" i="5"/>
  <c r="F37" i="5"/>
  <c r="F38" i="5"/>
  <c r="K38" i="5"/>
  <c r="G38" i="5"/>
  <c r="O38" i="5"/>
  <c r="G35" i="5"/>
  <c r="L36" i="5"/>
  <c r="P36" i="5"/>
  <c r="F36" i="5"/>
  <c r="F34" i="5"/>
  <c r="F35" i="5"/>
  <c r="K35" i="5"/>
  <c r="O35" i="5"/>
  <c r="F33" i="5"/>
  <c r="F31" i="5"/>
  <c r="F32" i="5"/>
  <c r="K32" i="5"/>
  <c r="O32" i="5"/>
  <c r="L30" i="5"/>
  <c r="P30" i="5"/>
  <c r="F30" i="5"/>
  <c r="F28" i="5"/>
  <c r="F29" i="5"/>
  <c r="K29" i="5"/>
  <c r="O29" i="5"/>
  <c r="H20" i="5"/>
  <c r="H14" i="5"/>
  <c r="H8" i="5"/>
  <c r="G24" i="5"/>
  <c r="G22" i="5"/>
  <c r="G19" i="5"/>
  <c r="G16" i="5"/>
  <c r="G13" i="5"/>
  <c r="F24" i="5"/>
  <c r="F25" i="5"/>
  <c r="K24" i="5"/>
  <c r="O24" i="5"/>
  <c r="F21" i="5"/>
  <c r="F22" i="5"/>
  <c r="F23" i="5"/>
  <c r="K22" i="5"/>
  <c r="O22" i="5"/>
  <c r="L20" i="5"/>
  <c r="P20" i="5"/>
  <c r="F18" i="5"/>
  <c r="F19" i="5"/>
  <c r="F20" i="5"/>
  <c r="K19" i="5"/>
  <c r="O19" i="5"/>
  <c r="F15" i="5"/>
  <c r="F16" i="5"/>
  <c r="F17" i="5"/>
  <c r="K16" i="5"/>
  <c r="O16" i="5"/>
  <c r="L14" i="5"/>
  <c r="P14" i="5"/>
  <c r="F12" i="5"/>
  <c r="F13" i="5"/>
  <c r="F14" i="5"/>
  <c r="K13" i="5"/>
  <c r="O13" i="5"/>
  <c r="F9" i="5"/>
  <c r="F10" i="5"/>
  <c r="F11" i="5"/>
  <c r="K10" i="5"/>
  <c r="G10" i="5"/>
  <c r="O10" i="5"/>
  <c r="G7" i="5"/>
  <c r="L8" i="5"/>
  <c r="P8" i="5"/>
  <c r="F6" i="5"/>
  <c r="F7" i="5"/>
  <c r="F8" i="5"/>
  <c r="K7" i="5"/>
  <c r="O7" i="5"/>
  <c r="C88" i="2"/>
  <c r="C69" i="2"/>
  <c r="E64" i="2"/>
  <c r="E58" i="2"/>
  <c r="E52" i="2"/>
  <c r="E42" i="2"/>
  <c r="H40" i="2"/>
  <c r="H41" i="2"/>
  <c r="H42" i="2"/>
  <c r="H43" i="2"/>
  <c r="H44" i="2"/>
  <c r="H45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E69" i="2"/>
  <c r="H69" i="2"/>
  <c r="D84" i="2"/>
  <c r="H84" i="2"/>
  <c r="H85" i="2"/>
  <c r="D86" i="2"/>
  <c r="H86" i="2"/>
  <c r="C87" i="2"/>
  <c r="H87" i="2"/>
  <c r="H88" i="2"/>
  <c r="C113" i="2"/>
  <c r="H113" i="2"/>
  <c r="C112" i="2"/>
  <c r="H112" i="2"/>
  <c r="H111" i="2"/>
  <c r="H110" i="2"/>
  <c r="H109" i="2"/>
  <c r="H108" i="2"/>
  <c r="H107" i="2"/>
  <c r="H106" i="2"/>
  <c r="H105" i="2"/>
  <c r="E101" i="2"/>
  <c r="H104" i="2"/>
  <c r="H103" i="2"/>
  <c r="D101" i="2"/>
  <c r="H102" i="2"/>
  <c r="C101" i="2"/>
  <c r="H101" i="2"/>
  <c r="E80" i="2"/>
  <c r="H98" i="2"/>
  <c r="H97" i="2"/>
  <c r="H96" i="2"/>
  <c r="H95" i="2"/>
  <c r="E74" i="2"/>
  <c r="H94" i="2"/>
  <c r="H93" i="2"/>
  <c r="H92" i="2"/>
  <c r="H91" i="2"/>
  <c r="H83" i="2"/>
  <c r="H82" i="2"/>
  <c r="H81" i="2"/>
  <c r="H80" i="2"/>
  <c r="H79" i="2"/>
  <c r="H78" i="2"/>
  <c r="H77" i="2"/>
  <c r="H76" i="2"/>
  <c r="H75" i="2"/>
  <c r="H74" i="2"/>
  <c r="H73" i="2"/>
  <c r="H72" i="2"/>
  <c r="C68" i="2"/>
  <c r="H68" i="2"/>
  <c r="C46" i="2"/>
  <c r="H46" i="2"/>
  <c r="E36" i="2"/>
  <c r="H39" i="2"/>
  <c r="H38" i="2"/>
  <c r="H37" i="2"/>
  <c r="H36" i="2"/>
  <c r="H35" i="2"/>
  <c r="H34" i="2"/>
  <c r="E30" i="2"/>
  <c r="H33" i="2"/>
  <c r="H32" i="2"/>
  <c r="H31" i="2"/>
  <c r="H29" i="2"/>
  <c r="H28" i="2"/>
  <c r="C47" i="2"/>
  <c r="H30" i="2"/>
</calcChain>
</file>

<file path=xl/sharedStrings.xml><?xml version="1.0" encoding="utf-8"?>
<sst xmlns="http://schemas.openxmlformats.org/spreadsheetml/2006/main" count="821" uniqueCount="312">
  <si>
    <t>REVISIONS HISTORY</t>
  </si>
  <si>
    <t>Rev1</t>
  </si>
  <si>
    <t>Original trim</t>
  </si>
  <si>
    <t>Rev2</t>
  </si>
  <si>
    <t>Slowed whole wing and tips more, ordered new line set</t>
  </si>
  <si>
    <t>Rev3</t>
  </si>
  <si>
    <t>27th June 2013</t>
  </si>
  <si>
    <t>Trimmed for certification, BR3=-10, CR1,2,3=-20, D26=-20, C27=-10</t>
  </si>
  <si>
    <t>Rev4</t>
  </si>
  <si>
    <t>23rd July 2013</t>
  </si>
  <si>
    <t>Increase sizes of AR1, 1A1,2</t>
  </si>
  <si>
    <t>Rev5</t>
  </si>
  <si>
    <t>30th August 2013</t>
  </si>
  <si>
    <t>Change C23 and c24 to PL3 reinforcing</t>
  </si>
  <si>
    <t>DUAL LIGHT</t>
  </si>
  <si>
    <t>1st Nov 2013</t>
  </si>
  <si>
    <t>Change top lines to unsheathed dyneema</t>
  </si>
  <si>
    <t>Checking</t>
  </si>
  <si>
    <t>A</t>
  </si>
  <si>
    <t>B</t>
  </si>
  <si>
    <t>C</t>
  </si>
  <si>
    <t>D</t>
  </si>
  <si>
    <t>E</t>
  </si>
  <si>
    <t>Brake</t>
  </si>
  <si>
    <t>Loop details</t>
  </si>
  <si>
    <t>ALL LOOPS TO BE 20MM LONG AND WIDE.</t>
  </si>
  <si>
    <t>PL1</t>
  </si>
  <si>
    <t>Dual LINE Materials</t>
  </si>
  <si>
    <t>Date:</t>
  </si>
  <si>
    <t>PL2</t>
  </si>
  <si>
    <t>PL3</t>
  </si>
  <si>
    <t>Rib</t>
  </si>
  <si>
    <t>A-LINE</t>
  </si>
  <si>
    <t>PL4</t>
  </si>
  <si>
    <t>DC 160 white</t>
  </si>
  <si>
    <t>a1</t>
  </si>
  <si>
    <t>PL_XL1</t>
  </si>
  <si>
    <t>TSL 280 red</t>
  </si>
  <si>
    <t>a2</t>
  </si>
  <si>
    <t>1A1</t>
  </si>
  <si>
    <t>TSL 500 Red</t>
  </si>
  <si>
    <t>a3</t>
  </si>
  <si>
    <t>AR1</t>
  </si>
  <si>
    <t>a4</t>
  </si>
  <si>
    <t>a5</t>
  </si>
  <si>
    <t>1A2</t>
  </si>
  <si>
    <t>a6</t>
  </si>
  <si>
    <t>DC 100 white</t>
  </si>
  <si>
    <t>a7</t>
  </si>
  <si>
    <t>TSL 220 red</t>
  </si>
  <si>
    <t>a8</t>
  </si>
  <si>
    <t>1A3</t>
  </si>
  <si>
    <t>TSL 380 Red</t>
  </si>
  <si>
    <t>a9</t>
  </si>
  <si>
    <t>AR2</t>
  </si>
  <si>
    <t>a10</t>
  </si>
  <si>
    <t>a11</t>
  </si>
  <si>
    <t>1A4</t>
  </si>
  <si>
    <t>a12</t>
  </si>
  <si>
    <t>DC100 white</t>
  </si>
  <si>
    <t>a13</t>
  </si>
  <si>
    <t>a14</t>
  </si>
  <si>
    <t>1A5</t>
  </si>
  <si>
    <t>TSL 280 Red</t>
  </si>
  <si>
    <t>a15</t>
  </si>
  <si>
    <t>AR3</t>
  </si>
  <si>
    <t>a16</t>
  </si>
  <si>
    <t>TSL 140 red</t>
  </si>
  <si>
    <t>a17</t>
  </si>
  <si>
    <t>1A6</t>
  </si>
  <si>
    <t>a18</t>
  </si>
  <si>
    <t>DSL70 blue</t>
  </si>
  <si>
    <t>a19</t>
  </si>
  <si>
    <t>1A7</t>
  </si>
  <si>
    <t>a20</t>
  </si>
  <si>
    <t>B-LINE</t>
  </si>
  <si>
    <t>b1</t>
  </si>
  <si>
    <t>TSL 220 blue</t>
  </si>
  <si>
    <t>b2</t>
  </si>
  <si>
    <t>1B1</t>
  </si>
  <si>
    <t>TSL 380 blue</t>
  </si>
  <si>
    <t>b3</t>
  </si>
  <si>
    <t>BR1</t>
  </si>
  <si>
    <t>b4</t>
  </si>
  <si>
    <t>b5</t>
  </si>
  <si>
    <t>1B2</t>
  </si>
  <si>
    <t>b6</t>
  </si>
  <si>
    <t>b7</t>
  </si>
  <si>
    <t>b8</t>
  </si>
  <si>
    <t>1B3</t>
  </si>
  <si>
    <t>b9</t>
  </si>
  <si>
    <t>BR2</t>
  </si>
  <si>
    <t>b10</t>
  </si>
  <si>
    <t>b11</t>
  </si>
  <si>
    <t>1B4</t>
  </si>
  <si>
    <t>b12</t>
  </si>
  <si>
    <t>b13</t>
  </si>
  <si>
    <t>b14</t>
  </si>
  <si>
    <t>1B5</t>
  </si>
  <si>
    <t>TSL 280 blue</t>
  </si>
  <si>
    <t>b15</t>
  </si>
  <si>
    <t>BR3</t>
  </si>
  <si>
    <t>b16</t>
  </si>
  <si>
    <t>TSL 140 blue</t>
  </si>
  <si>
    <t>b17</t>
  </si>
  <si>
    <t>1B6</t>
  </si>
  <si>
    <t>b18</t>
  </si>
  <si>
    <t>b19</t>
  </si>
  <si>
    <t>b20</t>
  </si>
  <si>
    <t>C-LINE</t>
  </si>
  <si>
    <t>c1</t>
  </si>
  <si>
    <t>TSL 220 green</t>
  </si>
  <si>
    <t>c2</t>
  </si>
  <si>
    <t>1C1</t>
  </si>
  <si>
    <t>TSL 380 green</t>
  </si>
  <si>
    <t>c3</t>
  </si>
  <si>
    <t>CR1</t>
  </si>
  <si>
    <t>c4</t>
  </si>
  <si>
    <t>c5</t>
  </si>
  <si>
    <t>1C2</t>
  </si>
  <si>
    <t>c6</t>
  </si>
  <si>
    <t>c7</t>
  </si>
  <si>
    <t>c8</t>
  </si>
  <si>
    <t>1C3</t>
  </si>
  <si>
    <t>TSL 280 green</t>
  </si>
  <si>
    <t>c9</t>
  </si>
  <si>
    <t>CR2</t>
  </si>
  <si>
    <t>c10</t>
  </si>
  <si>
    <t>TSL 140 green</t>
  </si>
  <si>
    <t>c11</t>
  </si>
  <si>
    <t>1C4</t>
  </si>
  <si>
    <t>c12</t>
  </si>
  <si>
    <t>c13</t>
  </si>
  <si>
    <t>c14</t>
  </si>
  <si>
    <t>1C5</t>
  </si>
  <si>
    <t>c15</t>
  </si>
  <si>
    <t>CR3</t>
  </si>
  <si>
    <t>c16</t>
  </si>
  <si>
    <t>c17</t>
  </si>
  <si>
    <t>1C6</t>
  </si>
  <si>
    <t>c18</t>
  </si>
  <si>
    <t>c19</t>
  </si>
  <si>
    <t>DSL70 green</t>
  </si>
  <si>
    <t>c20</t>
  </si>
  <si>
    <t>1c7</t>
  </si>
  <si>
    <t>CR4</t>
  </si>
  <si>
    <t>D-LINE</t>
  </si>
  <si>
    <t>d1</t>
  </si>
  <si>
    <t>d2</t>
  </si>
  <si>
    <t>1D1</t>
  </si>
  <si>
    <t>d3</t>
  </si>
  <si>
    <t>DR1</t>
  </si>
  <si>
    <t>d4</t>
  </si>
  <si>
    <t>d5</t>
  </si>
  <si>
    <t>1D2</t>
  </si>
  <si>
    <t>d6</t>
  </si>
  <si>
    <t>d7</t>
  </si>
  <si>
    <t>d8</t>
  </si>
  <si>
    <t>1D3</t>
  </si>
  <si>
    <t>d9</t>
  </si>
  <si>
    <t>DR2</t>
  </si>
  <si>
    <t>d10</t>
  </si>
  <si>
    <t>d11</t>
  </si>
  <si>
    <t>1D4</t>
  </si>
  <si>
    <t>d12</t>
  </si>
  <si>
    <t>d13</t>
  </si>
  <si>
    <t>1D5</t>
  </si>
  <si>
    <t>d14</t>
  </si>
  <si>
    <t>d15</t>
  </si>
  <si>
    <t>1D6</t>
  </si>
  <si>
    <t>d16</t>
  </si>
  <si>
    <t>d17</t>
  </si>
  <si>
    <t>E-LINE</t>
  </si>
  <si>
    <t>e1</t>
  </si>
  <si>
    <t>e2</t>
  </si>
  <si>
    <t>e3</t>
  </si>
  <si>
    <t>e4</t>
  </si>
  <si>
    <t>e5</t>
  </si>
  <si>
    <t>e6</t>
  </si>
  <si>
    <t>e7</t>
  </si>
  <si>
    <t>e8</t>
  </si>
  <si>
    <t>Loop Distance ""A""</t>
  </si>
  <si>
    <t>Brake-Lines</t>
  </si>
  <si>
    <t>Brake Loop Details</t>
  </si>
  <si>
    <t>r 3</t>
  </si>
  <si>
    <t>DSL70 yellow</t>
  </si>
  <si>
    <t>DSL350 Yellow</t>
  </si>
  <si>
    <t>k1</t>
  </si>
  <si>
    <t>1K1</t>
  </si>
  <si>
    <t>SL UP</t>
  </si>
  <si>
    <t>SL DOWN</t>
  </si>
  <si>
    <t>r 5</t>
  </si>
  <si>
    <t>BL1</t>
  </si>
  <si>
    <t>PPSL120 yellow</t>
  </si>
  <si>
    <t>k2</t>
  </si>
  <si>
    <t>2K1</t>
  </si>
  <si>
    <t>r 7</t>
  </si>
  <si>
    <t>BL2</t>
  </si>
  <si>
    <t>k3</t>
  </si>
  <si>
    <t>1K2</t>
  </si>
  <si>
    <t>r 9</t>
  </si>
  <si>
    <t>BL3</t>
  </si>
  <si>
    <t>k4</t>
  </si>
  <si>
    <t>r 11</t>
  </si>
  <si>
    <t>BL4</t>
  </si>
  <si>
    <t>k5</t>
  </si>
  <si>
    <t>1K3</t>
  </si>
  <si>
    <t>r 13</t>
  </si>
  <si>
    <t>k6</t>
  </si>
  <si>
    <t>2K2</t>
  </si>
  <si>
    <t>r 15</t>
  </si>
  <si>
    <t>k7</t>
  </si>
  <si>
    <t>1K4</t>
  </si>
  <si>
    <t>r 17</t>
  </si>
  <si>
    <t>k8</t>
  </si>
  <si>
    <t>r 19</t>
  </si>
  <si>
    <t>k9</t>
  </si>
  <si>
    <t>1K5</t>
  </si>
  <si>
    <t>r 21</t>
  </si>
  <si>
    <t>k10</t>
  </si>
  <si>
    <t>2K3</t>
  </si>
  <si>
    <t>r 23</t>
  </si>
  <si>
    <t>k11</t>
  </si>
  <si>
    <t>1K6</t>
  </si>
  <si>
    <t>r 25</t>
  </si>
  <si>
    <t>k12</t>
  </si>
  <si>
    <t>r 27</t>
  </si>
  <si>
    <t>k13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</si>
  <si>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</si>
  <si>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</si>
  <si>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</si>
  <si>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</si>
  <si>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</si>
  <si>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</si>
  <si>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</si>
  <si>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</si>
  <si>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</si>
  <si>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</si>
  <si>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</si>
  <si>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</si>
  <si>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</si>
  <si>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SL up</t>
  </si>
  <si>
    <t>SL down</t>
  </si>
  <si>
    <t>RI3</t>
  </si>
  <si>
    <t>RI5</t>
  </si>
  <si>
    <t>RI1</t>
  </si>
  <si>
    <t>RI2</t>
  </si>
  <si>
    <t>RI4</t>
  </si>
  <si>
    <t>Bridle checksheet lengths (mm)</t>
  </si>
  <si>
    <t>Total line lengths measured from canopy down to top of risers</t>
  </si>
  <si>
    <t>Second column is difference from A-line check length</t>
  </si>
  <si>
    <t xml:space="preserve"> 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</si>
  <si>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</si>
  <si>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</si>
  <si>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</si>
  <si>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</si>
  <si>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</si>
  <si>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</si>
  <si>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</si>
  <si>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</si>
  <si>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</si>
  <si>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</si>
  <si>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</si>
  <si>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</si>
  <si>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Canopy checksheet lengths (mm)</t>
  </si>
  <si>
    <t>Upper skin LE</t>
  </si>
  <si>
    <t>Total</t>
  </si>
  <si>
    <t>Lower skin LE</t>
  </si>
  <si>
    <t>TE Upper</t>
  </si>
  <si>
    <t>TE Lower</t>
  </si>
  <si>
    <t>Vent opening (mm) (straight line)</t>
  </si>
  <si>
    <t>Rib nr</t>
  </si>
  <si>
    <t>Per-rib statistics</t>
  </si>
  <si>
    <t xml:space="preserve">   Rib Nr</t>
  </si>
  <si>
    <t>Cell areas (sqm)</t>
  </si>
  <si>
    <t>Cell Nr</t>
  </si>
  <si>
    <t>Profile Support lengths (mm)</t>
  </si>
  <si>
    <t>Profile Nr</t>
  </si>
  <si>
    <t>Profile support 1 (1.5% -&gt; -12%)</t>
  </si>
  <si>
    <t>Profile support 2 (1.5% -&gt; -8%)</t>
  </si>
  <si>
    <t>H-strap Lengths</t>
  </si>
  <si>
    <t>Measurements given in mm</t>
  </si>
  <si>
    <t>Hstrap A</t>
  </si>
  <si>
    <t>Hstrap B</t>
  </si>
  <si>
    <t>Hstrap C</t>
  </si>
  <si>
    <t>Hstrap D</t>
  </si>
  <si>
    <t>Hstrap  (14.4%)</t>
  </si>
  <si>
    <t>Hstrap  (41.4%)</t>
  </si>
  <si>
    <t>Zoller 5000 cycle test results</t>
  </si>
  <si>
    <t>8000U-360</t>
  </si>
  <si>
    <t>8000U-280</t>
  </si>
  <si>
    <t>line 5000 cycle strength</t>
  </si>
  <si>
    <t>sum of group above</t>
  </si>
  <si>
    <t>test</t>
  </si>
  <si>
    <t>1=pass</t>
  </si>
  <si>
    <t>0=FAIL</t>
  </si>
  <si>
    <t>8000U-230</t>
  </si>
  <si>
    <t>PPSL120 blue</t>
  </si>
  <si>
    <t>LTC 200</t>
  </si>
  <si>
    <t>LTC 160</t>
  </si>
  <si>
    <t>LTC 120</t>
  </si>
  <si>
    <t>LTC 080</t>
  </si>
  <si>
    <t>LTC 065</t>
  </si>
  <si>
    <t>LTC 045</t>
  </si>
  <si>
    <t>TSL 500</t>
  </si>
  <si>
    <t>TSL 380</t>
  </si>
  <si>
    <t>TSL 280</t>
  </si>
  <si>
    <t>TSL 220</t>
  </si>
  <si>
    <t>TSL 190</t>
  </si>
  <si>
    <t>TSL 140</t>
  </si>
  <si>
    <t>PPSL 120</t>
  </si>
  <si>
    <t>DSL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</si>
</sst>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######"/>
    <numFmt numFmtId="166" formatCode="0.0"/>
  </numFmts>
  <fonts count="11">
    <font>
      <sz val="10"/>
      <name val="Arial"/>
      <family val="2"/>
    </font>
    <font>
      <sz val="10"/>
      <name val="Arial"/>
      <family val="2"/>
    </font>
    <font>
      <sz val="8"/>
      <name val="Arial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b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color indexed="10"/>
      <name val="Arial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6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3" fillId="0" borderId="0" xfId="0" applyFont="1"/>
    <xf numFmtId="0" fontId="3" fillId="0" borderId="0" xfId="0" applyFont="1" applyAlignment="1">
      <alignment horizontal="center"/>
    </xf>
    <xf numFmtId="0" fontId="0" fillId="2" borderId="0" xfId="0" applyFill="1"/>
    <xf numFmtId="0" fontId="0" fillId="4" borderId="7" xfId="0" applyFill="1" applyBorder="1"/>
    <xf numFmtId="0" fontId="0" fillId="5" borderId="7" xfId="0" applyFill="1" applyBorder="1"/>
    <xf numFmtId="0" fontId="0" fillId="6" borderId="7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/>
    <xf numFmtId="0" fontId="0" fillId="0" borderId="0" xfId="0" applyFill="1" applyBorder="1" applyAlignment="1">
      <alignment horizontal="center"/>
    </xf>
    <xf numFmtId="0" fontId="5" fillId="7" borderId="9" xfId="0" applyFont="1" applyFill="1" applyBorder="1"/>
    <xf numFmtId="0" fontId="0" fillId="0" borderId="10" xfId="0" applyFill="1" applyBorder="1" applyAlignment="1">
      <alignment horizontal="left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3" fillId="0" borderId="0" xfId="0" applyFont="1" applyAlignment="1"/>
    <xf numFmtId="0" fontId="0" fillId="0" borderId="0" xfId="0" applyAlignment="1"/>
    <xf numFmtId="164" fontId="4" fillId="0" borderId="11" xfId="0" applyNumberFormat="1" applyFont="1" applyBorder="1" applyAlignment="1"/>
    <xf numFmtId="0" fontId="0" fillId="0" borderId="1" xfId="0" applyBorder="1" applyAlignment="1"/>
    <xf numFmtId="0" fontId="0" fillId="0" borderId="4" xfId="0" applyBorder="1" applyAlignment="1"/>
    <xf numFmtId="0" fontId="0" fillId="0" borderId="12" xfId="0" applyBorder="1" applyAlignment="1"/>
    <xf numFmtId="0" fontId="3" fillId="0" borderId="13" xfId="0" applyFont="1" applyBorder="1" applyAlignment="1"/>
    <xf numFmtId="0" fontId="0" fillId="0" borderId="2" xfId="0" applyBorder="1" applyAlignment="1"/>
    <xf numFmtId="0" fontId="0" fillId="0" borderId="14" xfId="0" applyBorder="1" applyAlignment="1"/>
    <xf numFmtId="0" fontId="0" fillId="0" borderId="0" xfId="0" applyBorder="1" applyAlignment="1"/>
    <xf numFmtId="0" fontId="0" fillId="0" borderId="13" xfId="0" applyBorder="1" applyAlignment="1"/>
    <xf numFmtId="0" fontId="0" fillId="0" borderId="3" xfId="0" applyBorder="1" applyAlignment="1"/>
    <xf numFmtId="0" fontId="0" fillId="0" borderId="5" xfId="0" applyBorder="1" applyAlignment="1"/>
    <xf numFmtId="0" fontId="0" fillId="0" borderId="8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/>
    <xf numFmtId="0" fontId="3" fillId="0" borderId="17" xfId="0" applyFont="1" applyBorder="1" applyAlignment="1"/>
    <xf numFmtId="0" fontId="0" fillId="0" borderId="19" xfId="0" applyBorder="1" applyAlignment="1"/>
    <xf numFmtId="0" fontId="3" fillId="0" borderId="20" xfId="0" applyFont="1" applyBorder="1" applyAlignment="1"/>
    <xf numFmtId="0" fontId="0" fillId="0" borderId="0" xfId="0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8" borderId="22" xfId="0" applyFont="1" applyFill="1" applyBorder="1" applyAlignment="1">
      <alignment horizontal="center" vertical="center"/>
    </xf>
    <xf numFmtId="0" fontId="8" fillId="9" borderId="22" xfId="0" applyFont="1" applyFill="1" applyBorder="1" applyAlignment="1">
      <alignment horizontal="center" vertical="center"/>
    </xf>
    <xf numFmtId="0" fontId="8" fillId="10" borderId="22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6" borderId="22" xfId="0" applyFont="1" applyFill="1" applyBorder="1" applyAlignment="1">
      <alignment horizontal="center" vertical="center"/>
    </xf>
    <xf numFmtId="0" fontId="8" fillId="11" borderId="2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9" fillId="0" borderId="0" xfId="0" applyNumberFormat="1" applyFont="1" applyFill="1" applyBorder="1" applyAlignment="1" applyProtection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left" vertical="center"/>
    </xf>
    <xf numFmtId="0" fontId="0" fillId="0" borderId="11" xfId="0" applyBorder="1"/>
    <xf numFmtId="0" fontId="7" fillId="0" borderId="19" xfId="0" applyFont="1" applyFill="1" applyBorder="1" applyAlignment="1">
      <alignment horizontal="center" vertical="center"/>
    </xf>
    <xf numFmtId="0" fontId="0" fillId="0" borderId="26" xfId="0" applyBorder="1"/>
    <xf numFmtId="165" fontId="0" fillId="0" borderId="27" xfId="0" applyNumberFormat="1" applyBorder="1" applyAlignment="1">
      <alignment horizontal="center" vertical="center"/>
    </xf>
    <xf numFmtId="165" fontId="0" fillId="0" borderId="28" xfId="0" applyNumberFormat="1" applyBorder="1" applyAlignment="1">
      <alignment horizontal="center" vertical="center"/>
    </xf>
    <xf numFmtId="0" fontId="0" fillId="3" borderId="1" xfId="0" applyFill="1" applyBorder="1" applyAlignment="1"/>
    <xf numFmtId="0" fontId="0" fillId="3" borderId="2" xfId="0" applyFill="1" applyBorder="1" applyAlignment="1"/>
    <xf numFmtId="0" fontId="0" fillId="3" borderId="3" xfId="0" applyFill="1" applyBorder="1" applyAlignment="1"/>
    <xf numFmtId="0" fontId="0" fillId="4" borderId="2" xfId="0" applyFill="1" applyBorder="1" applyAlignment="1"/>
    <xf numFmtId="0" fontId="0" fillId="4" borderId="1" xfId="0" applyFill="1" applyBorder="1" applyAlignment="1"/>
    <xf numFmtId="0" fontId="0" fillId="4" borderId="3" xfId="0" applyFill="1" applyBorder="1" applyAlignment="1"/>
    <xf numFmtId="0" fontId="0" fillId="12" borderId="1" xfId="0" applyFill="1" applyBorder="1" applyAlignment="1"/>
    <xf numFmtId="0" fontId="0" fillId="12" borderId="2" xfId="0" applyFill="1" applyBorder="1" applyAlignment="1"/>
    <xf numFmtId="0" fontId="0" fillId="12" borderId="3" xfId="0" applyFill="1" applyBorder="1" applyAlignment="1"/>
    <xf numFmtId="0" fontId="0" fillId="6" borderId="1" xfId="0" applyFill="1" applyBorder="1" applyAlignment="1"/>
    <xf numFmtId="0" fontId="0" fillId="4" borderId="15" xfId="0" applyFill="1" applyBorder="1" applyAlignment="1"/>
    <xf numFmtId="0" fontId="0" fillId="4" borderId="29" xfId="0" applyFill="1" applyBorder="1" applyAlignment="1"/>
    <xf numFmtId="0" fontId="0" fillId="4" borderId="16" xfId="0" applyFill="1" applyBorder="1" applyAlignment="1"/>
    <xf numFmtId="0" fontId="0" fillId="12" borderId="29" xfId="0" applyFill="1" applyBorder="1" applyAlignment="1"/>
    <xf numFmtId="0" fontId="0" fillId="12" borderId="16" xfId="0" applyFill="1" applyBorder="1" applyAlignment="1"/>
    <xf numFmtId="0" fontId="0" fillId="12" borderId="15" xfId="0" applyFill="1" applyBorder="1" applyAlignment="1"/>
    <xf numFmtId="0" fontId="0" fillId="12" borderId="1" xfId="0" applyFill="1" applyBorder="1"/>
    <xf numFmtId="0" fontId="0" fillId="12" borderId="3" xfId="0" applyFill="1" applyBorder="1"/>
    <xf numFmtId="0" fontId="0" fillId="6" borderId="1" xfId="0" applyFill="1" applyBorder="1"/>
    <xf numFmtId="0" fontId="0" fillId="6" borderId="3" xfId="0" applyFill="1" applyBorder="1"/>
    <xf numFmtId="0" fontId="0" fillId="13" borderId="1" xfId="0" applyFill="1" applyBorder="1"/>
    <xf numFmtId="0" fontId="0" fillId="13" borderId="3" xfId="0" applyFill="1" applyBorder="1"/>
    <xf numFmtId="0" fontId="0" fillId="13" borderId="2" xfId="0" applyFill="1" applyBorder="1"/>
    <xf numFmtId="0" fontId="10" fillId="0" borderId="1" xfId="0" applyFont="1" applyBorder="1" applyAlignment="1"/>
    <xf numFmtId="0" fontId="10" fillId="0" borderId="2" xfId="0" applyFont="1" applyBorder="1" applyAlignment="1"/>
    <xf numFmtId="0" fontId="10" fillId="0" borderId="14" xfId="0" applyFont="1" applyBorder="1" applyAlignment="1"/>
    <xf numFmtId="0" fontId="10" fillId="0" borderId="5" xfId="0" applyFont="1" applyBorder="1" applyAlignment="1"/>
    <xf numFmtId="0" fontId="10" fillId="0" borderId="4" xfId="0" applyFont="1" applyBorder="1" applyAlignment="1"/>
    <xf numFmtId="0" fontId="10" fillId="0" borderId="18" xfId="0" applyFont="1" applyBorder="1" applyAlignment="1"/>
    <xf numFmtId="0" fontId="10" fillId="0" borderId="3" xfId="0" applyFont="1" applyBorder="1" applyAlignment="1"/>
    <xf numFmtId="0" fontId="1" fillId="0" borderId="1" xfId="0" applyFont="1" applyBorder="1" applyAlignment="1"/>
    <xf numFmtId="0" fontId="10" fillId="0" borderId="16" xfId="0" applyFont="1" applyBorder="1"/>
    <xf numFmtId="0" fontId="10" fillId="0" borderId="16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6" borderId="15" xfId="0" applyFont="1" applyFill="1" applyBorder="1" applyAlignment="1"/>
    <xf numFmtId="0" fontId="1" fillId="0" borderId="16" xfId="0" applyFont="1" applyBorder="1" applyAlignment="1"/>
    <xf numFmtId="0" fontId="1" fillId="0" borderId="13" xfId="0" applyFont="1" applyBorder="1" applyAlignment="1"/>
    <xf numFmtId="0" fontId="1" fillId="6" borderId="29" xfId="0" applyFont="1" applyFill="1" applyBorder="1" applyAlignment="1"/>
    <xf numFmtId="0" fontId="1" fillId="0" borderId="14" xfId="0" applyFont="1" applyBorder="1" applyAlignment="1"/>
    <xf numFmtId="0" fontId="1" fillId="0" borderId="5" xfId="0" applyFont="1" applyBorder="1" applyAlignment="1"/>
    <xf numFmtId="0" fontId="1" fillId="0" borderId="4" xfId="0" applyFont="1" applyBorder="1" applyAlignment="1"/>
    <xf numFmtId="0" fontId="1" fillId="0" borderId="2" xfId="0" applyFont="1" applyBorder="1"/>
    <xf numFmtId="0" fontId="1" fillId="13" borderId="1" xfId="0" applyFont="1" applyFill="1" applyBorder="1"/>
    <xf numFmtId="0" fontId="1" fillId="0" borderId="1" xfId="0" applyFont="1" applyBorder="1"/>
    <xf numFmtId="17" fontId="0" fillId="0" borderId="0" xfId="0" applyNumberFormat="1"/>
    <xf numFmtId="0" fontId="10" fillId="0" borderId="0" xfId="0" applyFont="1" applyBorder="1" applyAlignment="1"/>
    <xf numFmtId="0" fontId="0" fillId="0" borderId="0" xfId="0" applyAlignment="1">
      <alignment horizontal="left"/>
    </xf>
    <xf numFmtId="0" fontId="3" fillId="0" borderId="0" xfId="0" applyFont="1" applyBorder="1" applyAlignment="1"/>
    <xf numFmtId="0" fontId="7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13" xfId="0" applyNumberFormat="1" applyBorder="1"/>
    <xf numFmtId="49" fontId="0" fillId="0" borderId="30" xfId="0" applyNumberFormat="1" applyFill="1" applyBorder="1"/>
    <xf numFmtId="0" fontId="1" fillId="0" borderId="0" xfId="0" applyFont="1" applyBorder="1" applyAlignment="1"/>
    <xf numFmtId="166" fontId="1" fillId="0" borderId="2" xfId="0" applyNumberFormat="1" applyFont="1" applyBorder="1" applyAlignment="1"/>
    <xf numFmtId="166" fontId="1" fillId="0" borderId="0" xfId="0" applyNumberFormat="1" applyFont="1" applyBorder="1" applyAlignment="1"/>
    <xf numFmtId="166" fontId="1" fillId="0" borderId="14" xfId="0" applyNumberFormat="1" applyFont="1" applyBorder="1" applyAlignment="1"/>
    <xf numFmtId="166" fontId="1" fillId="0" borderId="1" xfId="0" applyNumberFormat="1" applyFont="1" applyBorder="1" applyAlignment="1"/>
    <xf numFmtId="166" fontId="1" fillId="0" borderId="16" xfId="0" applyNumberFormat="1" applyFont="1" applyBorder="1" applyAlignment="1"/>
    <xf numFmtId="166" fontId="1" fillId="0" borderId="5" xfId="0" applyNumberFormat="1" applyFont="1" applyBorder="1" applyAlignment="1"/>
    <xf numFmtId="0" fontId="0" fillId="0" borderId="27" xfId="0" applyBorder="1"/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4" fillId="0" borderId="15" xfId="0" applyFont="1" applyBorder="1" applyAlignment="1"/>
    <xf numFmtId="0" fontId="4" fillId="0" borderId="11" xfId="0" applyFont="1" applyBorder="1" applyAlignment="1"/>
    <xf numFmtId="0" fontId="4" fillId="0" borderId="10" xfId="0" applyFont="1" applyBorder="1" applyAlignment="1"/>
    <xf numFmtId="0" fontId="4" fillId="0" borderId="0" xfId="0" applyFont="1" applyBorder="1" applyAlignment="1"/>
    <xf numFmtId="0" fontId="4" fillId="0" borderId="10" xfId="0" applyFont="1" applyBorder="1" applyAlignment="1"/>
    <xf numFmtId="0" fontId="4" fillId="0" borderId="11" xfId="0" applyFont="1" applyBorder="1" applyAlignment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5" xfId="0" applyFont="1" applyBorder="1" applyAlignment="1"/>
    <xf numFmtId="0" fontId="4" fillId="0" borderId="0" xfId="0" applyFont="1" applyBorder="1" applyAlignment="1"/>
    <xf numFmtId="0" fontId="4" fillId="0" borderId="26" xfId="0" applyFont="1" applyBorder="1" applyAlignment="1"/>
    <xf numFmtId="0" fontId="7" fillId="0" borderId="31" xfId="0" applyFont="1" applyFill="1" applyBorder="1" applyAlignment="1">
      <alignment horizontal="left"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7" fillId="11" borderId="34" xfId="0" applyFont="1" applyFill="1" applyBorder="1" applyAlignment="1">
      <alignment horizontal="center" vertical="center"/>
    </xf>
    <xf numFmtId="0" fontId="7" fillId="11" borderId="22" xfId="0" applyFont="1" applyFill="1" applyBorder="1" applyAlignment="1">
      <alignment horizontal="center" vertical="center"/>
    </xf>
    <xf numFmtId="0" fontId="7" fillId="11" borderId="35" xfId="0" applyFont="1" applyFill="1" applyBorder="1" applyAlignment="1">
      <alignment horizontal="center" vertical="center"/>
    </xf>
    <xf numFmtId="0" fontId="7" fillId="0" borderId="36" xfId="0" applyFont="1" applyFill="1" applyBorder="1" applyAlignment="1">
      <alignment horizontal="center" vertical="center"/>
    </xf>
    <xf numFmtId="0" fontId="7" fillId="0" borderId="32" xfId="0" applyFont="1" applyFill="1" applyBorder="1" applyAlignment="1">
      <alignment horizontal="center" vertical="center"/>
    </xf>
    <xf numFmtId="0" fontId="7" fillId="0" borderId="37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justify"/>
    </xf>
    <xf numFmtId="0" fontId="1" fillId="3" borderId="7" xfId="0" applyFont="1" applyFill="1" applyBorder="1"/>
    <xf numFmtId="0" fontId="1" fillId="0" borderId="2" xfId="0" applyFont="1" applyFill="1" applyBorder="1" applyAlignment="1">
      <alignment horizontal="center" vertical="center"/>
    </xf>
    <xf numFmtId="166" fontId="10" fillId="0" borderId="13" xfId="0" applyNumberFormat="1" applyFont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</cellXfs>
  <cellStyles count="2">
    <cellStyle name="Normal" xfId="0" builtinId="0"/>
    <cellStyle name="Standard 2" xfId="1" xr:uid="{00000000-0005-0000-0000-000001000000}"/>
  </cellStyles>
  <dxfs count="2"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5"/>
  <sheetViews>
    <sheetView topLeftCell="B1" workbookViewId="0">
      <selection activeCell="D8" sqref="D8"/>
    </sheetView>
  </sheetViews>
  <sheetFormatPr defaultColWidth="8.85546875" defaultRowHeight="12.75"/>
  <cols>
    <col min="2" max="2" width="12" customWidth="1"/>
    <col min="3" max="3" width="15.42578125" customWidth="1"/>
  </cols>
  <sheetData>
    <row r="1" spans="2:4">
      <c r="B1" t="s">
        <v>0</v>
      </c>
    </row>
    <row r="2" spans="2:4">
      <c r="B2" t="s">
        <v>1</v>
      </c>
      <c r="C2" s="119">
        <v>41275</v>
      </c>
      <c r="D2" t="s">
        <v>2</v>
      </c>
    </row>
    <row r="3" spans="2:4">
      <c r="B3" t="s">
        <v>3</v>
      </c>
      <c r="C3" s="119">
        <v>41365</v>
      </c>
      <c r="D3" t="s">
        <v>4</v>
      </c>
    </row>
    <row r="4" spans="2:4">
      <c r="B4" t="s">
        <v>5</v>
      </c>
      <c r="C4" t="s">
        <v>6</v>
      </c>
      <c r="D4" t="s">
        <v>7</v>
      </c>
    </row>
    <row r="5" spans="2:4">
      <c r="B5" t="s">
        <v>8</v>
      </c>
      <c r="C5" t="s">
        <v>9</v>
      </c>
      <c r="D5" t="s">
        <v>10</v>
      </c>
    </row>
    <row r="6" spans="2:4">
      <c r="B6" t="s">
        <v>11</v>
      </c>
      <c r="C6" t="s">
        <v>12</v>
      </c>
      <c r="D6" t="s">
        <v>13</v>
      </c>
    </row>
    <row r="7" spans="2:4">
      <c r="B7" t="s">
        <v>14</v>
      </c>
      <c r="C7" t="s">
        <v>15</v>
      </c>
      <c r="D7" t="s">
        <v>16</v>
      </c>
    </row>
    <row r="15" spans="2:4">
      <c r="B15">
        <v>0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"/>
  <sheetViews>
    <sheetView tabSelected="1" zoomScale="160" workbookViewId="0">
      <selection activeCell="L25" sqref="L25"/>
    </sheetView>
  </sheetViews>
  <sheetFormatPr defaultColWidth="8.85546875" defaultRowHeight="12.75"/>
  <cols>
    <col min="2" max="2" width="9.140625" style="24" customWidth="1"/>
  </cols>
  <sheetData>
    <row r="1" spans="1:7" ht="15.75">
      <c r="B1" s="23"/>
    </row>
    <row r="2" spans="1:7" ht="15.75">
      <c r="B2" s="23"/>
    </row>
    <row r="3" spans="1:7" ht="15.75">
      <c r="B3" s="23"/>
    </row>
    <row r="4" spans="1:7" ht="15.75">
      <c r="B4" s="23"/>
    </row>
    <row r="5" spans="1:7" ht="15.75">
      <c r="A5" s="9" t="s">
        <v>17</v>
      </c>
      <c r="B5" s="24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</row>
    <row r="6" spans="1:7">
      <c r="A6">
        <v>1</v>
      </c>
      <c r="B6" s="15">
        <v>8593</v>
      </c>
      <c r="C6" s="15">
        <v>8475</v>
      </c>
      <c r="D6" s="15">
        <v>8518</v>
      </c>
      <c r="E6" s="15">
        <v>8656</v>
      </c>
      <c r="F6">
        <v>8729</v>
      </c>
      <c r="G6">
        <v>9477</v>
      </c>
    </row>
    <row r="7" spans="1:7">
      <c r="A7">
        <v>2</v>
      </c>
      <c r="B7" s="15">
        <v>8491</v>
      </c>
      <c r="C7" s="15">
        <v>8367</v>
      </c>
      <c r="D7" s="15">
        <v>8397</v>
      </c>
      <c r="E7" s="15">
        <v>8530</v>
      </c>
      <c r="F7">
        <v>8592</v>
      </c>
      <c r="G7">
        <v>9228</v>
      </c>
    </row>
    <row r="8" spans="1:7">
      <c r="A8">
        <v>3</v>
      </c>
      <c r="B8" s="15">
        <v>8500</v>
      </c>
      <c r="C8" s="15">
        <v>8370</v>
      </c>
      <c r="D8" s="15">
        <v>8383</v>
      </c>
      <c r="E8" s="15">
        <v>8510</v>
      </c>
      <c r="F8">
        <v>8569</v>
      </c>
      <c r="G8">
        <v>9018</v>
      </c>
    </row>
    <row r="9" spans="1:7">
      <c r="A9">
        <v>4</v>
      </c>
      <c r="B9" s="15">
        <v>8468</v>
      </c>
      <c r="C9" s="15">
        <v>8346</v>
      </c>
      <c r="D9" s="15">
        <v>8361</v>
      </c>
      <c r="E9" s="15">
        <v>8491</v>
      </c>
      <c r="F9">
        <v>8659</v>
      </c>
      <c r="G9">
        <v>8957</v>
      </c>
    </row>
    <row r="10" spans="1:7">
      <c r="A10">
        <v>5</v>
      </c>
      <c r="B10" s="15">
        <v>8436</v>
      </c>
      <c r="C10" s="15">
        <v>8328</v>
      </c>
      <c r="D10" s="15">
        <v>8353</v>
      </c>
      <c r="E10" s="15">
        <v>8493</v>
      </c>
      <c r="F10">
        <v>8590</v>
      </c>
      <c r="G10">
        <v>8803</v>
      </c>
    </row>
    <row r="11" spans="1:7">
      <c r="A11">
        <v>6</v>
      </c>
      <c r="B11" s="15">
        <v>8508</v>
      </c>
      <c r="C11" s="15">
        <v>8412</v>
      </c>
      <c r="D11" s="15">
        <v>8448</v>
      </c>
      <c r="E11" s="15">
        <v>8597</v>
      </c>
      <c r="F11">
        <v>8481</v>
      </c>
      <c r="G11">
        <v>8728</v>
      </c>
    </row>
    <row r="12" spans="1:7">
      <c r="A12">
        <v>7</v>
      </c>
      <c r="B12" s="15">
        <v>8430</v>
      </c>
      <c r="C12" s="15">
        <v>8340</v>
      </c>
      <c r="D12" s="15">
        <v>8371</v>
      </c>
      <c r="E12" s="15">
        <v>8517</v>
      </c>
      <c r="F12">
        <v>8479</v>
      </c>
      <c r="G12">
        <v>8725</v>
      </c>
    </row>
    <row r="13" spans="1:7">
      <c r="A13">
        <v>8</v>
      </c>
      <c r="B13" s="15">
        <v>8343</v>
      </c>
      <c r="C13" s="15">
        <v>8254</v>
      </c>
      <c r="D13" s="15">
        <v>8276</v>
      </c>
      <c r="E13" s="15">
        <v>8417</v>
      </c>
      <c r="F13">
        <v>8535</v>
      </c>
      <c r="G13">
        <v>8775</v>
      </c>
    </row>
    <row r="14" spans="1:7">
      <c r="A14">
        <v>9</v>
      </c>
      <c r="B14" s="15">
        <v>8350</v>
      </c>
      <c r="C14" s="15">
        <v>8261</v>
      </c>
      <c r="D14" s="15">
        <v>8275</v>
      </c>
      <c r="E14" s="15">
        <v>8412</v>
      </c>
      <c r="G14">
        <v>8716</v>
      </c>
    </row>
    <row r="15" spans="1:7">
      <c r="A15">
        <v>10</v>
      </c>
      <c r="B15" s="15">
        <v>8307</v>
      </c>
      <c r="C15" s="15">
        <v>8239</v>
      </c>
      <c r="D15" s="15">
        <v>8263</v>
      </c>
      <c r="E15" s="15">
        <v>8409</v>
      </c>
      <c r="G15">
        <v>8633</v>
      </c>
    </row>
    <row r="16" spans="1:7">
      <c r="A16">
        <v>11</v>
      </c>
      <c r="B16" s="15">
        <v>8280</v>
      </c>
      <c r="C16" s="15">
        <v>8228</v>
      </c>
      <c r="D16" s="15">
        <v>8258</v>
      </c>
      <c r="E16" s="15">
        <v>8408</v>
      </c>
      <c r="G16">
        <v>8552</v>
      </c>
    </row>
    <row r="17" spans="1:7">
      <c r="A17">
        <v>12</v>
      </c>
      <c r="B17" s="15">
        <v>8336</v>
      </c>
      <c r="C17" s="15">
        <v>8297</v>
      </c>
      <c r="D17" s="15">
        <v>8332</v>
      </c>
      <c r="E17" s="15">
        <v>8485</v>
      </c>
      <c r="G17">
        <v>8531</v>
      </c>
    </row>
    <row r="18" spans="1:7">
      <c r="A18">
        <v>13</v>
      </c>
      <c r="B18" s="15">
        <v>8186</v>
      </c>
      <c r="C18" s="15">
        <v>8128</v>
      </c>
      <c r="D18" s="15">
        <v>8191</v>
      </c>
      <c r="E18" s="15">
        <v>8289</v>
      </c>
      <c r="G18">
        <v>8596</v>
      </c>
    </row>
    <row r="19" spans="1:7">
      <c r="A19">
        <v>14</v>
      </c>
      <c r="B19" s="15">
        <v>8095</v>
      </c>
      <c r="C19" s="15">
        <v>8043</v>
      </c>
      <c r="D19" s="15">
        <v>8090</v>
      </c>
      <c r="E19" s="15">
        <v>8141</v>
      </c>
    </row>
    <row r="20" spans="1:7">
      <c r="A20">
        <v>15</v>
      </c>
      <c r="B20" s="15">
        <v>8079</v>
      </c>
      <c r="C20" s="15">
        <v>8027</v>
      </c>
      <c r="D20" s="15">
        <v>8053</v>
      </c>
      <c r="E20" s="15">
        <v>8014</v>
      </c>
    </row>
    <row r="21" spans="1:7">
      <c r="A21">
        <v>16</v>
      </c>
      <c r="B21" s="15">
        <v>7941</v>
      </c>
      <c r="C21" s="15">
        <v>7903</v>
      </c>
      <c r="D21" s="15">
        <v>7934</v>
      </c>
      <c r="E21" s="15">
        <v>7903</v>
      </c>
    </row>
    <row r="22" spans="1:7">
      <c r="A22">
        <v>17</v>
      </c>
      <c r="B22" s="15">
        <v>7869</v>
      </c>
      <c r="C22" s="15">
        <v>7840</v>
      </c>
      <c r="D22" s="15">
        <v>7857</v>
      </c>
      <c r="E22" s="15">
        <v>7604</v>
      </c>
    </row>
    <row r="23" spans="1:7">
      <c r="A23">
        <v>18</v>
      </c>
      <c r="B23" s="15">
        <v>7871</v>
      </c>
      <c r="C23" s="15">
        <v>7838</v>
      </c>
      <c r="D23" s="15">
        <v>7833</v>
      </c>
    </row>
    <row r="24" spans="1:7">
      <c r="A24">
        <v>19</v>
      </c>
      <c r="B24" s="15">
        <v>7552</v>
      </c>
      <c r="C24" s="15">
        <v>7505</v>
      </c>
      <c r="D24" s="15">
        <v>7543</v>
      </c>
    </row>
    <row r="25" spans="1:7">
      <c r="A25">
        <v>20</v>
      </c>
      <c r="B25" s="15">
        <v>7511</v>
      </c>
      <c r="C25" s="15">
        <v>7516</v>
      </c>
      <c r="D25" s="15">
        <v>7509</v>
      </c>
    </row>
    <row r="26" spans="1:7">
      <c r="B26" s="15"/>
    </row>
    <row r="27" spans="1:7">
      <c r="B27" s="15"/>
    </row>
    <row r="48" spans="2:2">
      <c r="B48" s="15"/>
    </row>
    <row r="49" spans="2:2">
      <c r="B49" s="15"/>
    </row>
    <row r="70" spans="2:2">
      <c r="B70" s="15"/>
    </row>
    <row r="71" spans="2:2">
      <c r="B71" s="15"/>
    </row>
    <row r="89" spans="2:2">
      <c r="B89" s="15"/>
    </row>
    <row r="90" spans="2:2">
      <c r="B90" s="15"/>
    </row>
    <row r="100" spans="2:2">
      <c r="B100"/>
    </row>
  </sheetData>
  <phoneticPr fontId="2" type="noConversion"/>
  <conditionalFormatting sqref="G6:G18">
    <cfRule type="cellIs" dxfId="1" priority="1" stopIfTrue="1" operator="lessThanOrEqual">
      <formula>0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09"/>
  <sheetViews>
    <sheetView zoomScale="125" zoomScaleNormal="125" workbookViewId="0">
      <selection activeCell="G14" sqref="G14"/>
    </sheetView>
  </sheetViews>
  <sheetFormatPr defaultColWidth="8.85546875" defaultRowHeight="12.75"/>
  <cols>
    <col min="3" max="3" width="9.140625" style="24" customWidth="1"/>
    <col min="4" max="4" width="9.42578125" style="24" customWidth="1"/>
    <col min="5" max="6" width="9.140625" style="24" customWidth="1"/>
    <col min="7" max="7" width="9.140625" style="15" customWidth="1"/>
    <col min="8" max="9" width="9.140625" style="24" customWidth="1"/>
    <col min="10" max="10" width="9.140625" style="15" customWidth="1"/>
    <col min="11" max="11" width="14" style="24" customWidth="1"/>
    <col min="12" max="12" width="12.42578125" style="24" customWidth="1"/>
    <col min="13" max="13" width="14.7109375" style="24" customWidth="1"/>
    <col min="14" max="14" width="15.85546875" style="24" customWidth="1"/>
    <col min="15" max="15" width="14.7109375" style="24" customWidth="1"/>
    <col min="17" max="20" width="9.140625" style="15" customWidth="1"/>
  </cols>
  <sheetData>
    <row r="1" spans="1:22" ht="15.75">
      <c r="A1" s="6" t="s">
        <v>24</v>
      </c>
      <c r="B1" s="7"/>
      <c r="C1" s="23"/>
      <c r="D1" s="23"/>
      <c r="E1" s="23"/>
      <c r="F1" s="23"/>
      <c r="G1" s="9"/>
      <c r="H1" s="23"/>
      <c r="I1" s="23"/>
    </row>
    <row r="2" spans="1:22" ht="16.5" thickBot="1">
      <c r="A2" s="10" t="s">
        <v>25</v>
      </c>
      <c r="B2" s="8"/>
      <c r="C2" s="23"/>
      <c r="D2" s="23"/>
      <c r="E2" s="23"/>
      <c r="F2" s="23"/>
      <c r="G2" s="9"/>
      <c r="H2" s="23"/>
      <c r="I2" s="23"/>
    </row>
    <row r="3" spans="1:22" ht="16.5" thickBot="1">
      <c r="A3" s="158" t="s">
        <v>26</v>
      </c>
      <c r="B3" s="8"/>
      <c r="C3" s="146"/>
      <c r="D3" s="146"/>
      <c r="E3" s="146"/>
      <c r="F3" s="23"/>
      <c r="G3" s="9"/>
      <c r="H3" s="23"/>
      <c r="I3" s="23"/>
      <c r="J3" s="141" t="s">
        <v>27</v>
      </c>
      <c r="K3" s="147"/>
      <c r="L3" s="142"/>
      <c r="M3" s="23"/>
      <c r="N3" s="139" t="s">
        <v>28</v>
      </c>
      <c r="O3" s="25">
        <v>41306</v>
      </c>
    </row>
    <row r="4" spans="1:22" ht="16.5" thickBot="1">
      <c r="A4" s="11" t="s">
        <v>29</v>
      </c>
      <c r="B4" s="8"/>
      <c r="C4" s="23"/>
      <c r="D4" s="23"/>
      <c r="E4" s="23"/>
      <c r="F4" s="23"/>
      <c r="G4" s="9"/>
      <c r="H4" s="23"/>
      <c r="I4" s="23"/>
      <c r="J4" s="9"/>
      <c r="K4" s="23"/>
      <c r="L4" s="23"/>
      <c r="M4" s="23"/>
      <c r="N4" s="23"/>
      <c r="O4" s="23"/>
    </row>
    <row r="5" spans="1:22" ht="16.5" thickBot="1">
      <c r="A5" s="12" t="s">
        <v>30</v>
      </c>
      <c r="B5" s="15" t="s">
        <v>31</v>
      </c>
      <c r="C5" s="141" t="s">
        <v>32</v>
      </c>
      <c r="D5" s="142"/>
      <c r="E5" s="23"/>
      <c r="F5" s="23"/>
      <c r="G5"/>
      <c r="H5" s="9" t="s">
        <v>17</v>
      </c>
      <c r="I5" s="23"/>
      <c r="J5" s="15" t="s">
        <v>31</v>
      </c>
      <c r="K5" s="137" t="s">
        <v>32</v>
      </c>
      <c r="L5" s="138"/>
      <c r="M5" s="23"/>
      <c r="N5" s="23"/>
      <c r="O5" s="23"/>
      <c r="Q5" s="15" t="s">
        <v>31</v>
      </c>
      <c r="R5" s="143" t="s">
        <v>32</v>
      </c>
      <c r="S5" s="144"/>
    </row>
    <row r="6" spans="1:22" ht="15.75" customHeight="1">
      <c r="A6" s="13" t="s">
        <v>33</v>
      </c>
      <c r="B6" s="14">
        <v>2</v>
      </c>
      <c r="C6" s="74">
        <v>1061</v>
      </c>
      <c r="D6" s="27"/>
      <c r="E6" s="28"/>
      <c r="F6" s="29"/>
      <c r="G6"/>
      <c r="H6" s="15">
        <v>8593</v>
      </c>
      <c r="I6" s="15"/>
      <c r="J6" s="135">
        <v>2</v>
      </c>
      <c r="K6" s="26" t="s">
        <v>34</v>
      </c>
      <c r="L6" s="27"/>
      <c r="M6" s="28"/>
      <c r="N6" s="29"/>
      <c r="O6" s="29"/>
      <c r="Q6" s="14">
        <v>2</v>
      </c>
      <c r="R6" s="14" t="s">
        <v>35</v>
      </c>
      <c r="S6" s="40"/>
      <c r="T6" s="41"/>
      <c r="U6" s="29"/>
      <c r="V6" s="29"/>
    </row>
    <row r="7" spans="1:22" ht="15.75" customHeight="1" thickBot="1">
      <c r="A7" s="19" t="s">
        <v>36</v>
      </c>
      <c r="B7" s="16">
        <v>3</v>
      </c>
      <c r="C7" s="75">
        <v>960</v>
      </c>
      <c r="D7" s="31">
        <v>2836</v>
      </c>
      <c r="E7" s="32"/>
      <c r="F7" s="29"/>
      <c r="G7"/>
      <c r="H7" s="15">
        <v>8491</v>
      </c>
      <c r="I7" s="15"/>
      <c r="J7" s="136">
        <v>3</v>
      </c>
      <c r="K7" s="30" t="s">
        <v>34</v>
      </c>
      <c r="L7" s="99" t="s">
        <v>37</v>
      </c>
      <c r="M7" s="32"/>
      <c r="N7" s="29"/>
      <c r="O7" s="29"/>
      <c r="Q7" s="16">
        <v>3</v>
      </c>
      <c r="R7" s="16" t="s">
        <v>38</v>
      </c>
      <c r="S7" s="42" t="s">
        <v>39</v>
      </c>
      <c r="T7" s="43"/>
      <c r="U7" s="29"/>
      <c r="V7" s="29"/>
    </row>
    <row r="8" spans="1:22" ht="15.75" customHeight="1" thickBot="1">
      <c r="A8" s="20"/>
      <c r="B8" s="16">
        <v>4</v>
      </c>
      <c r="C8" s="75">
        <v>968</v>
      </c>
      <c r="D8" s="31"/>
      <c r="E8" s="32">
        <v>4696</v>
      </c>
      <c r="F8" s="29"/>
      <c r="G8"/>
      <c r="H8" s="15">
        <v>8500</v>
      </c>
      <c r="I8" s="15"/>
      <c r="J8" s="136">
        <v>4</v>
      </c>
      <c r="K8" s="34" t="s">
        <v>34</v>
      </c>
      <c r="L8" s="31"/>
      <c r="M8" s="120" t="s">
        <v>40</v>
      </c>
      <c r="N8" s="29"/>
      <c r="O8" s="29"/>
      <c r="Q8" s="16">
        <v>4</v>
      </c>
      <c r="R8" s="16" t="s">
        <v>41</v>
      </c>
      <c r="S8" s="42"/>
      <c r="T8" s="43" t="s">
        <v>42</v>
      </c>
      <c r="U8" s="29"/>
      <c r="V8" s="29"/>
    </row>
    <row r="9" spans="1:22" ht="15.75">
      <c r="B9" s="21">
        <v>6</v>
      </c>
      <c r="C9" s="74">
        <v>968</v>
      </c>
      <c r="D9" s="27"/>
      <c r="E9" s="32"/>
      <c r="F9" s="29"/>
      <c r="H9" s="15">
        <v>8468</v>
      </c>
      <c r="I9" s="15"/>
      <c r="J9" s="21">
        <v>6</v>
      </c>
      <c r="K9" s="26" t="s">
        <v>34</v>
      </c>
      <c r="L9" s="27"/>
      <c r="M9" s="32"/>
      <c r="N9" s="29"/>
      <c r="O9" s="29"/>
      <c r="Q9" s="21">
        <v>6</v>
      </c>
      <c r="R9" s="14" t="s">
        <v>43</v>
      </c>
      <c r="S9" s="40"/>
      <c r="T9" s="43"/>
      <c r="U9" s="29"/>
      <c r="V9" s="29"/>
    </row>
    <row r="10" spans="1:22">
      <c r="B10" s="21">
        <v>7</v>
      </c>
      <c r="C10" s="75">
        <v>936</v>
      </c>
      <c r="D10" s="31">
        <v>2804</v>
      </c>
      <c r="E10" s="32"/>
      <c r="F10" s="33"/>
      <c r="H10" s="15">
        <v>8436</v>
      </c>
      <c r="I10" s="15"/>
      <c r="J10" s="21">
        <v>7</v>
      </c>
      <c r="K10" s="30" t="s">
        <v>34</v>
      </c>
      <c r="L10" s="99" t="s">
        <v>37</v>
      </c>
      <c r="M10" s="32"/>
      <c r="N10" s="33"/>
      <c r="O10" s="33"/>
      <c r="Q10" s="21">
        <v>7</v>
      </c>
      <c r="R10" s="16" t="s">
        <v>44</v>
      </c>
      <c r="S10" s="42" t="s">
        <v>45</v>
      </c>
      <c r="T10" s="43"/>
      <c r="U10" s="33"/>
      <c r="V10" s="33"/>
    </row>
    <row r="11" spans="1:22" ht="13.5" thickBot="1">
      <c r="B11" s="21">
        <v>8</v>
      </c>
      <c r="C11" s="76">
        <v>1008</v>
      </c>
      <c r="D11" s="35"/>
      <c r="E11" s="36"/>
      <c r="F11" s="33"/>
      <c r="H11" s="15">
        <v>8508</v>
      </c>
      <c r="I11" s="15"/>
      <c r="J11" s="21">
        <v>8</v>
      </c>
      <c r="K11" s="34" t="s">
        <v>34</v>
      </c>
      <c r="L11" s="35"/>
      <c r="M11" s="36"/>
      <c r="N11" s="33"/>
      <c r="O11" s="33"/>
      <c r="Q11" s="21">
        <v>8</v>
      </c>
      <c r="R11" s="44" t="s">
        <v>46</v>
      </c>
      <c r="S11" s="45"/>
      <c r="T11" s="46"/>
      <c r="U11" s="33"/>
      <c r="V11" s="33"/>
    </row>
    <row r="12" spans="1:22">
      <c r="B12" s="21">
        <v>10</v>
      </c>
      <c r="C12" s="74">
        <v>955</v>
      </c>
      <c r="D12" s="27"/>
      <c r="E12" s="28">
        <v>4904</v>
      </c>
      <c r="F12" s="33"/>
      <c r="H12" s="15">
        <v>8430</v>
      </c>
      <c r="I12" s="15"/>
      <c r="J12" s="21">
        <v>10</v>
      </c>
      <c r="K12" s="26" t="s">
        <v>47</v>
      </c>
      <c r="L12" s="27"/>
      <c r="M12" s="28"/>
      <c r="N12" s="33"/>
      <c r="O12" s="33"/>
      <c r="Q12" s="21">
        <v>10</v>
      </c>
      <c r="R12" s="14" t="s">
        <v>48</v>
      </c>
      <c r="S12" s="40"/>
      <c r="T12" s="41"/>
      <c r="U12" s="33"/>
      <c r="V12" s="33"/>
    </row>
    <row r="13" spans="1:22">
      <c r="B13" s="21">
        <v>11</v>
      </c>
      <c r="C13" s="75">
        <v>867</v>
      </c>
      <c r="D13" s="31">
        <v>2572</v>
      </c>
      <c r="E13" s="32"/>
      <c r="F13" s="33"/>
      <c r="H13" s="15">
        <v>8343</v>
      </c>
      <c r="I13" s="15"/>
      <c r="J13" s="21">
        <v>11</v>
      </c>
      <c r="K13" s="30" t="s">
        <v>47</v>
      </c>
      <c r="L13" s="31" t="s">
        <v>49</v>
      </c>
      <c r="M13" s="32"/>
      <c r="N13" s="33"/>
      <c r="O13" s="33"/>
      <c r="Q13" s="21">
        <v>11</v>
      </c>
      <c r="R13" s="16" t="s">
        <v>50</v>
      </c>
      <c r="S13" s="42" t="s">
        <v>51</v>
      </c>
      <c r="T13" s="43"/>
      <c r="U13" s="33"/>
      <c r="V13" s="33"/>
    </row>
    <row r="14" spans="1:22" ht="13.5" thickBot="1">
      <c r="B14" s="21">
        <v>12</v>
      </c>
      <c r="C14" s="75">
        <v>874</v>
      </c>
      <c r="D14" s="31"/>
      <c r="E14" s="32"/>
      <c r="F14" s="33"/>
      <c r="H14" s="15">
        <v>8350</v>
      </c>
      <c r="I14" s="15"/>
      <c r="J14" s="21">
        <v>12</v>
      </c>
      <c r="K14" s="34" t="s">
        <v>47</v>
      </c>
      <c r="L14" s="31"/>
      <c r="M14" s="32" t="s">
        <v>52</v>
      </c>
      <c r="N14" s="33"/>
      <c r="O14" s="33"/>
      <c r="Q14" s="21">
        <v>12</v>
      </c>
      <c r="R14" s="16" t="s">
        <v>53</v>
      </c>
      <c r="S14" s="42"/>
      <c r="T14" s="43" t="s">
        <v>54</v>
      </c>
      <c r="U14" s="33"/>
      <c r="V14" s="33"/>
    </row>
    <row r="15" spans="1:22">
      <c r="B15" s="21">
        <v>14</v>
      </c>
      <c r="C15" s="74">
        <v>799</v>
      </c>
      <c r="D15" s="27"/>
      <c r="E15" s="32"/>
      <c r="F15" s="33"/>
      <c r="H15" s="15">
        <v>8307</v>
      </c>
      <c r="I15" s="15"/>
      <c r="J15" s="21">
        <v>14</v>
      </c>
      <c r="K15" s="26" t="s">
        <v>47</v>
      </c>
      <c r="L15" s="27"/>
      <c r="M15" s="32"/>
      <c r="N15" s="33"/>
      <c r="O15" s="33"/>
      <c r="Q15" s="21">
        <v>14</v>
      </c>
      <c r="R15" s="14" t="s">
        <v>55</v>
      </c>
      <c r="S15" s="40"/>
      <c r="T15" s="43"/>
      <c r="U15" s="33"/>
      <c r="V15" s="33"/>
    </row>
    <row r="16" spans="1:22">
      <c r="B16" s="21">
        <v>15</v>
      </c>
      <c r="C16" s="77">
        <v>771</v>
      </c>
      <c r="D16" s="31">
        <v>2604</v>
      </c>
      <c r="E16" s="32"/>
      <c r="F16" s="33"/>
      <c r="H16" s="15">
        <v>8280</v>
      </c>
      <c r="I16" s="15"/>
      <c r="J16" s="21">
        <v>15</v>
      </c>
      <c r="K16" s="30" t="s">
        <v>47</v>
      </c>
      <c r="L16" s="31" t="s">
        <v>49</v>
      </c>
      <c r="M16" s="32"/>
      <c r="N16" s="33"/>
      <c r="O16" s="33"/>
      <c r="Q16" s="21">
        <v>15</v>
      </c>
      <c r="R16" s="16" t="s">
        <v>56</v>
      </c>
      <c r="S16" s="42" t="s">
        <v>57</v>
      </c>
      <c r="T16" s="43"/>
      <c r="U16" s="33"/>
      <c r="V16" s="33"/>
    </row>
    <row r="17" spans="2:23" ht="13.5" thickBot="1">
      <c r="B17" s="21">
        <v>16</v>
      </c>
      <c r="C17" s="79">
        <v>828</v>
      </c>
      <c r="D17" s="35"/>
      <c r="E17" s="36"/>
      <c r="F17" s="33"/>
      <c r="H17" s="15">
        <v>8336</v>
      </c>
      <c r="I17" s="15"/>
      <c r="J17" s="21">
        <v>16</v>
      </c>
      <c r="K17" s="34" t="s">
        <v>47</v>
      </c>
      <c r="L17" s="35"/>
      <c r="M17" s="36"/>
      <c r="N17" s="33"/>
      <c r="O17" s="33"/>
      <c r="Q17" s="21">
        <v>16</v>
      </c>
      <c r="R17" s="44" t="s">
        <v>58</v>
      </c>
      <c r="S17" s="45"/>
      <c r="T17" s="46"/>
      <c r="U17" s="33"/>
      <c r="V17" s="33"/>
    </row>
    <row r="18" spans="2:23">
      <c r="B18" s="21">
        <v>18</v>
      </c>
      <c r="C18" s="78">
        <v>731</v>
      </c>
      <c r="D18" s="27"/>
      <c r="E18" s="28">
        <v>5270</v>
      </c>
      <c r="F18" s="33"/>
      <c r="H18" s="15">
        <v>8186</v>
      </c>
      <c r="I18" s="15"/>
      <c r="J18" s="21">
        <v>18</v>
      </c>
      <c r="K18" s="26" t="s">
        <v>59</v>
      </c>
      <c r="L18" s="27"/>
      <c r="M18" s="28"/>
      <c r="N18" s="33"/>
      <c r="O18" s="33"/>
      <c r="Q18" s="21">
        <v>18</v>
      </c>
      <c r="R18" s="14" t="s">
        <v>60</v>
      </c>
      <c r="S18" s="40"/>
      <c r="T18" s="41"/>
      <c r="U18" s="33"/>
      <c r="V18" s="33"/>
    </row>
    <row r="19" spans="2:23">
      <c r="B19" s="21">
        <v>19</v>
      </c>
      <c r="C19" s="77">
        <v>640</v>
      </c>
      <c r="D19" s="31">
        <v>2185</v>
      </c>
      <c r="E19" s="32"/>
      <c r="F19" s="33"/>
      <c r="H19" s="15">
        <v>8095</v>
      </c>
      <c r="I19" s="15"/>
      <c r="J19" s="21">
        <v>19</v>
      </c>
      <c r="K19" s="30" t="s">
        <v>59</v>
      </c>
      <c r="L19" s="31" t="s">
        <v>49</v>
      </c>
      <c r="M19" s="32"/>
      <c r="N19" s="33"/>
      <c r="O19" s="33"/>
      <c r="Q19" s="21">
        <v>19</v>
      </c>
      <c r="R19" s="16" t="s">
        <v>61</v>
      </c>
      <c r="S19" s="42" t="s">
        <v>62</v>
      </c>
      <c r="T19" s="43"/>
      <c r="U19" s="33"/>
      <c r="V19" s="33"/>
    </row>
    <row r="20" spans="2:23" ht="13.5" thickBot="1">
      <c r="B20" s="21">
        <v>20</v>
      </c>
      <c r="C20" s="77">
        <v>624</v>
      </c>
      <c r="D20" s="31"/>
      <c r="E20" s="32"/>
      <c r="F20" s="33"/>
      <c r="H20" s="15">
        <v>8079</v>
      </c>
      <c r="I20" s="15"/>
      <c r="J20" s="21">
        <v>20</v>
      </c>
      <c r="K20" s="30" t="s">
        <v>59</v>
      </c>
      <c r="L20" s="31"/>
      <c r="M20" s="32" t="s">
        <v>63</v>
      </c>
      <c r="N20" s="33"/>
      <c r="O20" s="33"/>
      <c r="Q20" s="21">
        <v>20</v>
      </c>
      <c r="R20" s="16" t="s">
        <v>64</v>
      </c>
      <c r="S20" s="42"/>
      <c r="T20" s="43" t="s">
        <v>65</v>
      </c>
      <c r="U20" s="33"/>
      <c r="V20" s="33"/>
    </row>
    <row r="21" spans="2:23">
      <c r="B21" s="21">
        <v>22</v>
      </c>
      <c r="C21" s="80">
        <v>582</v>
      </c>
      <c r="D21" s="27"/>
      <c r="E21" s="32"/>
      <c r="F21" s="33"/>
      <c r="H21" s="15">
        <v>7941</v>
      </c>
      <c r="I21" s="15"/>
      <c r="J21" s="21">
        <v>22</v>
      </c>
      <c r="K21" s="26" t="s">
        <v>59</v>
      </c>
      <c r="L21" s="27"/>
      <c r="M21" s="32"/>
      <c r="N21" s="33"/>
      <c r="O21" s="33"/>
      <c r="Q21" s="21">
        <v>22</v>
      </c>
      <c r="R21" s="14" t="s">
        <v>66</v>
      </c>
      <c r="S21" s="40"/>
      <c r="T21" s="43"/>
      <c r="U21" s="33"/>
      <c r="V21" s="33"/>
    </row>
    <row r="22" spans="2:23">
      <c r="B22" s="21">
        <v>23</v>
      </c>
      <c r="C22" s="81">
        <v>510</v>
      </c>
      <c r="D22" s="31">
        <v>2089</v>
      </c>
      <c r="E22" s="32"/>
      <c r="F22" s="33"/>
      <c r="H22" s="15">
        <v>7869</v>
      </c>
      <c r="I22" s="15"/>
      <c r="J22" s="21">
        <v>23</v>
      </c>
      <c r="K22" s="30" t="s">
        <v>59</v>
      </c>
      <c r="L22" s="31" t="s">
        <v>67</v>
      </c>
      <c r="M22" s="32"/>
      <c r="N22" s="33"/>
      <c r="O22" s="33"/>
      <c r="Q22" s="21">
        <v>23</v>
      </c>
      <c r="R22" s="16" t="s">
        <v>68</v>
      </c>
      <c r="S22" s="42" t="s">
        <v>69</v>
      </c>
      <c r="T22" s="43"/>
      <c r="U22" s="33"/>
      <c r="V22" s="33"/>
    </row>
    <row r="23" spans="2:23" ht="13.5" thickBot="1">
      <c r="B23" s="21">
        <v>24</v>
      </c>
      <c r="C23" s="82">
        <v>512</v>
      </c>
      <c r="D23" s="35"/>
      <c r="E23" s="32"/>
      <c r="F23" s="33"/>
      <c r="H23" s="15">
        <v>7871</v>
      </c>
      <c r="I23" s="15"/>
      <c r="J23" s="21">
        <v>24</v>
      </c>
      <c r="K23" s="30" t="s">
        <v>59</v>
      </c>
      <c r="L23" s="35"/>
      <c r="M23" s="32"/>
      <c r="N23" s="33"/>
      <c r="O23" s="33"/>
      <c r="Q23" s="21">
        <v>24</v>
      </c>
      <c r="R23" s="44" t="s">
        <v>70</v>
      </c>
      <c r="S23" s="45"/>
      <c r="T23" s="43"/>
      <c r="U23" s="33"/>
      <c r="V23" s="33"/>
    </row>
    <row r="24" spans="2:23">
      <c r="B24" s="21">
        <v>26</v>
      </c>
      <c r="C24" s="83">
        <v>943</v>
      </c>
      <c r="D24" s="37">
        <v>800</v>
      </c>
      <c r="E24" s="33"/>
      <c r="F24" s="33"/>
      <c r="H24" s="15">
        <v>7552</v>
      </c>
      <c r="I24" s="15"/>
      <c r="J24" s="21">
        <v>26</v>
      </c>
      <c r="K24" s="26" t="s">
        <v>59</v>
      </c>
      <c r="L24" s="26" t="s">
        <v>71</v>
      </c>
      <c r="M24" s="39"/>
      <c r="N24" s="33"/>
      <c r="O24" s="33"/>
      <c r="Q24" s="21">
        <v>26</v>
      </c>
      <c r="R24" s="14" t="s">
        <v>72</v>
      </c>
      <c r="S24" s="14" t="s">
        <v>73</v>
      </c>
      <c r="T24" s="47"/>
      <c r="U24" s="33"/>
      <c r="V24" s="33"/>
    </row>
    <row r="25" spans="2:23" ht="13.5" thickBot="1">
      <c r="B25" s="22">
        <v>27</v>
      </c>
      <c r="C25" s="34">
        <v>902</v>
      </c>
      <c r="D25" s="38"/>
      <c r="E25" s="33"/>
      <c r="F25" s="33"/>
      <c r="H25" s="15">
        <v>7511</v>
      </c>
      <c r="I25" s="15"/>
      <c r="J25" s="22">
        <v>27</v>
      </c>
      <c r="K25" s="34" t="s">
        <v>59</v>
      </c>
      <c r="L25" s="34"/>
      <c r="M25" s="39"/>
      <c r="N25" s="33"/>
      <c r="O25" s="33"/>
      <c r="Q25" s="22">
        <v>27</v>
      </c>
      <c r="R25" s="44" t="s">
        <v>74</v>
      </c>
      <c r="S25" s="44"/>
      <c r="T25" s="47"/>
      <c r="U25" s="33"/>
      <c r="V25" s="33"/>
    </row>
    <row r="26" spans="2:23" ht="16.5" thickBot="1">
      <c r="C26" s="23"/>
      <c r="D26" s="23"/>
      <c r="E26" s="23"/>
      <c r="F26" s="23"/>
      <c r="G26"/>
      <c r="H26" s="15"/>
      <c r="I26" s="23"/>
      <c r="J26" s="9"/>
      <c r="R26" s="9"/>
      <c r="S26" s="9"/>
      <c r="T26" s="9"/>
      <c r="U26" s="9"/>
      <c r="V26" s="9"/>
      <c r="W26" s="8"/>
    </row>
    <row r="27" spans="2:23" ht="16.5" thickBot="1">
      <c r="B27" s="15" t="s">
        <v>31</v>
      </c>
      <c r="C27" s="23"/>
      <c r="D27" s="141" t="s">
        <v>75</v>
      </c>
      <c r="E27" s="142"/>
      <c r="F27" s="23"/>
      <c r="G27"/>
      <c r="H27" s="15"/>
      <c r="I27" s="23"/>
      <c r="J27" s="15" t="s">
        <v>31</v>
      </c>
      <c r="K27" s="23"/>
      <c r="L27" s="139" t="s">
        <v>75</v>
      </c>
      <c r="M27" s="138"/>
      <c r="N27" s="23"/>
      <c r="O27" s="23"/>
      <c r="P27" s="8"/>
      <c r="R27" s="9"/>
      <c r="S27" s="143" t="s">
        <v>75</v>
      </c>
      <c r="T27" s="144"/>
      <c r="U27" s="9"/>
      <c r="V27" s="9"/>
      <c r="W27" s="8"/>
    </row>
    <row r="28" spans="2:23" ht="15.75">
      <c r="B28" s="14">
        <v>2</v>
      </c>
      <c r="C28" s="74">
        <v>1052</v>
      </c>
      <c r="D28" s="27"/>
      <c r="E28" s="26"/>
      <c r="F28" s="49"/>
      <c r="G28"/>
      <c r="H28" s="15">
        <f>C28+D29+E30</f>
        <v>8475</v>
      </c>
      <c r="I28" s="15"/>
      <c r="J28" s="14">
        <v>2</v>
      </c>
      <c r="K28" s="26" t="s">
        <v>47</v>
      </c>
      <c r="L28" s="27"/>
      <c r="M28" s="28"/>
      <c r="N28" s="29"/>
      <c r="O28" s="29"/>
      <c r="P28" s="8"/>
      <c r="Q28" s="14">
        <v>2</v>
      </c>
      <c r="R28" s="14" t="s">
        <v>76</v>
      </c>
      <c r="S28" s="40"/>
      <c r="T28" s="41"/>
      <c r="U28" s="29"/>
      <c r="V28" s="29"/>
      <c r="W28" s="8"/>
    </row>
    <row r="29" spans="2:23" ht="15.75">
      <c r="B29" s="16">
        <v>3</v>
      </c>
      <c r="C29" s="75">
        <v>944</v>
      </c>
      <c r="D29" s="31">
        <v>2338</v>
      </c>
      <c r="E29" s="30"/>
      <c r="F29" s="49"/>
      <c r="H29" s="15">
        <f>C29+D29+E30</f>
        <v>8367</v>
      </c>
      <c r="I29" s="15"/>
      <c r="J29" s="16">
        <v>3</v>
      </c>
      <c r="K29" s="30" t="s">
        <v>47</v>
      </c>
      <c r="L29" s="31" t="s">
        <v>77</v>
      </c>
      <c r="M29" s="32"/>
      <c r="N29" s="29"/>
      <c r="O29" s="29"/>
      <c r="Q29" s="16">
        <v>3</v>
      </c>
      <c r="R29" s="16" t="s">
        <v>78</v>
      </c>
      <c r="S29" s="42" t="s">
        <v>79</v>
      </c>
      <c r="T29" s="43"/>
      <c r="U29" s="29"/>
      <c r="V29" s="29"/>
    </row>
    <row r="30" spans="2:23" ht="16.5" thickBot="1">
      <c r="B30" s="16">
        <v>4</v>
      </c>
      <c r="C30" s="75">
        <v>947</v>
      </c>
      <c r="D30" s="31"/>
      <c r="E30" s="107">
        <f>5105-20</f>
        <v>5085</v>
      </c>
      <c r="F30" s="49"/>
      <c r="H30" s="15">
        <f>C30+D29+E30</f>
        <v>8370</v>
      </c>
      <c r="I30" s="15"/>
      <c r="J30" s="16">
        <v>4</v>
      </c>
      <c r="K30" s="34" t="s">
        <v>47</v>
      </c>
      <c r="L30" s="31"/>
      <c r="M30" s="32" t="s">
        <v>80</v>
      </c>
      <c r="N30" s="29"/>
      <c r="O30" s="29"/>
      <c r="Q30" s="16">
        <v>4</v>
      </c>
      <c r="R30" s="16" t="s">
        <v>81</v>
      </c>
      <c r="S30" s="42"/>
      <c r="T30" s="43" t="s">
        <v>82</v>
      </c>
      <c r="U30" s="29"/>
      <c r="V30" s="29"/>
    </row>
    <row r="31" spans="2:23" ht="15.75">
      <c r="B31" s="21">
        <v>6</v>
      </c>
      <c r="C31" s="74">
        <v>941</v>
      </c>
      <c r="D31" s="27"/>
      <c r="E31" s="107"/>
      <c r="F31" s="49"/>
      <c r="H31" s="15">
        <f>C31+D32+E30</f>
        <v>8346</v>
      </c>
      <c r="I31" s="15"/>
      <c r="J31" s="21">
        <v>6</v>
      </c>
      <c r="K31" s="26" t="s">
        <v>47</v>
      </c>
      <c r="L31" s="27"/>
      <c r="M31" s="32"/>
      <c r="N31" s="29"/>
      <c r="O31" s="29"/>
      <c r="Q31" s="21">
        <v>6</v>
      </c>
      <c r="R31" s="14" t="s">
        <v>83</v>
      </c>
      <c r="S31" s="40"/>
      <c r="T31" s="43"/>
      <c r="U31" s="29"/>
      <c r="V31" s="29"/>
    </row>
    <row r="32" spans="2:23">
      <c r="B32" s="21">
        <v>7</v>
      </c>
      <c r="C32" s="75">
        <v>923</v>
      </c>
      <c r="D32" s="31">
        <v>2320</v>
      </c>
      <c r="E32" s="107"/>
      <c r="F32" s="39"/>
      <c r="H32" s="15">
        <f>C32+D32+E30</f>
        <v>8328</v>
      </c>
      <c r="I32" s="15"/>
      <c r="J32" s="21">
        <v>7</v>
      </c>
      <c r="K32" s="30" t="s">
        <v>47</v>
      </c>
      <c r="L32" s="31" t="s">
        <v>77</v>
      </c>
      <c r="M32" s="32"/>
      <c r="N32" s="33"/>
      <c r="O32" s="33"/>
      <c r="Q32" s="21">
        <v>7</v>
      </c>
      <c r="R32" s="16" t="s">
        <v>84</v>
      </c>
      <c r="S32" s="42" t="s">
        <v>85</v>
      </c>
      <c r="T32" s="43"/>
      <c r="U32" s="33"/>
      <c r="V32" s="33"/>
    </row>
    <row r="33" spans="2:22" ht="13.5" thickBot="1">
      <c r="B33" s="21">
        <v>8</v>
      </c>
      <c r="C33" s="76">
        <v>1007</v>
      </c>
      <c r="D33" s="35"/>
      <c r="E33" s="108"/>
      <c r="F33" s="39"/>
      <c r="H33" s="15">
        <f>C33+D32+E30</f>
        <v>8412</v>
      </c>
      <c r="I33" s="15"/>
      <c r="J33" s="21">
        <v>8</v>
      </c>
      <c r="K33" s="34" t="s">
        <v>47</v>
      </c>
      <c r="L33" s="35"/>
      <c r="M33" s="36"/>
      <c r="N33" s="33"/>
      <c r="O33" s="33"/>
      <c r="Q33" s="21">
        <v>8</v>
      </c>
      <c r="R33" s="44" t="s">
        <v>86</v>
      </c>
      <c r="S33" s="45"/>
      <c r="T33" s="46"/>
      <c r="U33" s="33"/>
      <c r="V33" s="33"/>
    </row>
    <row r="34" spans="2:22">
      <c r="B34" s="21">
        <v>10</v>
      </c>
      <c r="C34" s="74">
        <v>943</v>
      </c>
      <c r="D34" s="27"/>
      <c r="E34" s="104"/>
      <c r="F34" s="39"/>
      <c r="H34" s="15">
        <f>C34+D35+E36</f>
        <v>8340</v>
      </c>
      <c r="I34" s="15"/>
      <c r="J34" s="21">
        <v>10</v>
      </c>
      <c r="K34" s="26" t="s">
        <v>47</v>
      </c>
      <c r="L34" s="27"/>
      <c r="M34" s="28"/>
      <c r="N34" s="33"/>
      <c r="O34" s="33"/>
      <c r="Q34" s="21">
        <v>10</v>
      </c>
      <c r="R34" s="14" t="s">
        <v>87</v>
      </c>
      <c r="S34" s="40"/>
      <c r="T34" s="41"/>
      <c r="U34" s="33"/>
      <c r="V34" s="33"/>
    </row>
    <row r="35" spans="2:22">
      <c r="B35" s="21">
        <v>11</v>
      </c>
      <c r="C35" s="75">
        <v>857</v>
      </c>
      <c r="D35" s="31">
        <v>2104</v>
      </c>
      <c r="E35" s="107"/>
      <c r="F35" s="39"/>
      <c r="H35" s="15">
        <f>C35+D35+E36</f>
        <v>8254</v>
      </c>
      <c r="I35" s="15"/>
      <c r="J35" s="21">
        <v>11</v>
      </c>
      <c r="K35" s="30" t="s">
        <v>47</v>
      </c>
      <c r="L35" s="31" t="s">
        <v>77</v>
      </c>
      <c r="M35" s="32"/>
      <c r="N35" s="33"/>
      <c r="O35" s="33"/>
      <c r="Q35" s="21">
        <v>11</v>
      </c>
      <c r="R35" s="16" t="s">
        <v>88</v>
      </c>
      <c r="S35" s="42" t="s">
        <v>89</v>
      </c>
      <c r="T35" s="43"/>
      <c r="U35" s="33"/>
      <c r="V35" s="33"/>
    </row>
    <row r="36" spans="2:22" ht="13.5" thickBot="1">
      <c r="B36" s="21">
        <v>12</v>
      </c>
      <c r="C36" s="75">
        <v>864</v>
      </c>
      <c r="D36" s="31"/>
      <c r="E36" s="107">
        <f>5313-20</f>
        <v>5293</v>
      </c>
      <c r="F36" s="39"/>
      <c r="H36" s="15">
        <f>C36+D35+E36</f>
        <v>8261</v>
      </c>
      <c r="I36" s="15"/>
      <c r="J36" s="21">
        <v>12</v>
      </c>
      <c r="K36" s="34" t="s">
        <v>47</v>
      </c>
      <c r="L36" s="31"/>
      <c r="M36" s="32" t="s">
        <v>80</v>
      </c>
      <c r="N36" s="33"/>
      <c r="O36" s="33"/>
      <c r="Q36" s="21">
        <v>12</v>
      </c>
      <c r="R36" s="16" t="s">
        <v>90</v>
      </c>
      <c r="S36" s="42"/>
      <c r="T36" s="43" t="s">
        <v>91</v>
      </c>
      <c r="U36" s="33"/>
      <c r="V36" s="33"/>
    </row>
    <row r="37" spans="2:22">
      <c r="B37" s="21">
        <v>14</v>
      </c>
      <c r="C37" s="74">
        <v>776</v>
      </c>
      <c r="D37" s="27"/>
      <c r="E37" s="98"/>
      <c r="F37" s="39"/>
      <c r="H37" s="15">
        <f>C37+D38+E36</f>
        <v>8239</v>
      </c>
      <c r="I37" s="15"/>
      <c r="J37" s="21">
        <v>14</v>
      </c>
      <c r="K37" s="26" t="s">
        <v>47</v>
      </c>
      <c r="L37" s="27"/>
      <c r="M37" s="32"/>
      <c r="N37" s="33"/>
      <c r="O37" s="33"/>
      <c r="Q37" s="21">
        <v>14</v>
      </c>
      <c r="R37" s="14" t="s">
        <v>92</v>
      </c>
      <c r="S37" s="40"/>
      <c r="T37" s="43"/>
      <c r="U37" s="33"/>
      <c r="V37" s="33"/>
    </row>
    <row r="38" spans="2:22">
      <c r="B38" s="21">
        <v>15</v>
      </c>
      <c r="C38" s="77">
        <v>765</v>
      </c>
      <c r="D38" s="31">
        <v>2170</v>
      </c>
      <c r="E38" s="98"/>
      <c r="F38" s="39"/>
      <c r="H38" s="15">
        <f>C38+D38+E36</f>
        <v>8228</v>
      </c>
      <c r="I38" s="15"/>
      <c r="J38" s="21">
        <v>15</v>
      </c>
      <c r="K38" s="30" t="s">
        <v>47</v>
      </c>
      <c r="L38" s="31" t="s">
        <v>77</v>
      </c>
      <c r="M38" s="32"/>
      <c r="N38" s="33"/>
      <c r="O38" s="33"/>
      <c r="Q38" s="21">
        <v>15</v>
      </c>
      <c r="R38" s="16" t="s">
        <v>93</v>
      </c>
      <c r="S38" s="42" t="s">
        <v>94</v>
      </c>
      <c r="T38" s="43"/>
      <c r="U38" s="33"/>
      <c r="V38" s="33"/>
    </row>
    <row r="39" spans="2:22" ht="13.5" thickBot="1">
      <c r="B39" s="21">
        <v>16</v>
      </c>
      <c r="C39" s="79">
        <v>834</v>
      </c>
      <c r="D39" s="35"/>
      <c r="E39" s="103"/>
      <c r="F39" s="39"/>
      <c r="H39" s="15">
        <f>C39+D38+E36</f>
        <v>8297</v>
      </c>
      <c r="I39" s="15"/>
      <c r="J39" s="21">
        <v>16</v>
      </c>
      <c r="K39" s="34" t="s">
        <v>47</v>
      </c>
      <c r="L39" s="35"/>
      <c r="M39" s="36"/>
      <c r="N39" s="33"/>
      <c r="O39" s="33"/>
      <c r="Q39" s="21">
        <v>16</v>
      </c>
      <c r="R39" s="44" t="s">
        <v>95</v>
      </c>
      <c r="S39" s="45"/>
      <c r="T39" s="46"/>
      <c r="U39" s="33"/>
      <c r="V39" s="33"/>
    </row>
    <row r="40" spans="2:22">
      <c r="B40" s="21">
        <v>18</v>
      </c>
      <c r="C40" s="78">
        <v>721</v>
      </c>
      <c r="D40" s="27"/>
      <c r="E40" s="97"/>
      <c r="F40" s="39"/>
      <c r="H40" s="15">
        <f>C40+D41+E42</f>
        <v>8128</v>
      </c>
      <c r="I40" s="15"/>
      <c r="J40" s="21">
        <v>18</v>
      </c>
      <c r="K40" s="26" t="s">
        <v>59</v>
      </c>
      <c r="L40" s="27"/>
      <c r="M40" s="28"/>
      <c r="N40" s="33"/>
      <c r="O40" s="33"/>
      <c r="Q40" s="21">
        <v>18</v>
      </c>
      <c r="R40" s="14" t="s">
        <v>96</v>
      </c>
      <c r="S40" s="40"/>
      <c r="T40" s="41"/>
      <c r="U40" s="33"/>
      <c r="V40" s="33"/>
    </row>
    <row r="41" spans="2:22">
      <c r="B41" s="21">
        <v>19</v>
      </c>
      <c r="C41" s="77">
        <v>636</v>
      </c>
      <c r="D41" s="31">
        <v>1805</v>
      </c>
      <c r="E41" s="98"/>
      <c r="F41" s="39"/>
      <c r="H41" s="15">
        <f>C41+D41+E42</f>
        <v>8043</v>
      </c>
      <c r="I41" s="15"/>
      <c r="J41" s="21">
        <v>19</v>
      </c>
      <c r="K41" s="30" t="s">
        <v>59</v>
      </c>
      <c r="L41" s="31" t="s">
        <v>77</v>
      </c>
      <c r="M41" s="32"/>
      <c r="N41" s="33"/>
      <c r="O41" s="33"/>
      <c r="Q41" s="21">
        <v>19</v>
      </c>
      <c r="R41" s="16" t="s">
        <v>97</v>
      </c>
      <c r="S41" s="42" t="s">
        <v>98</v>
      </c>
      <c r="T41" s="43"/>
      <c r="U41" s="33"/>
      <c r="V41" s="33"/>
    </row>
    <row r="42" spans="2:22" ht="13.5" thickBot="1">
      <c r="B42" s="21">
        <v>20</v>
      </c>
      <c r="C42" s="77">
        <v>620</v>
      </c>
      <c r="D42" s="31"/>
      <c r="E42" s="98">
        <f>5642-30-10</f>
        <v>5602</v>
      </c>
      <c r="F42" s="39"/>
      <c r="H42" s="15">
        <f>C42+D41+E42</f>
        <v>8027</v>
      </c>
      <c r="I42" s="15"/>
      <c r="J42" s="21">
        <v>20</v>
      </c>
      <c r="K42" s="30" t="s">
        <v>59</v>
      </c>
      <c r="L42" s="31"/>
      <c r="M42" s="32" t="s">
        <v>99</v>
      </c>
      <c r="N42" s="33"/>
      <c r="O42" s="33"/>
      <c r="Q42" s="21">
        <v>20</v>
      </c>
      <c r="R42" s="16" t="s">
        <v>100</v>
      </c>
      <c r="S42" s="42"/>
      <c r="T42" s="43" t="s">
        <v>101</v>
      </c>
      <c r="U42" s="33"/>
      <c r="V42" s="33"/>
    </row>
    <row r="43" spans="2:22">
      <c r="B43" s="21">
        <v>22</v>
      </c>
      <c r="C43" s="80">
        <v>577</v>
      </c>
      <c r="D43" s="26"/>
      <c r="E43" s="30"/>
      <c r="F43" s="39"/>
      <c r="H43" s="15">
        <f>C43+D44+E42</f>
        <v>7903</v>
      </c>
      <c r="I43" s="15"/>
      <c r="J43" s="21">
        <v>22</v>
      </c>
      <c r="K43" s="26" t="s">
        <v>59</v>
      </c>
      <c r="L43" s="27"/>
      <c r="M43" s="32"/>
      <c r="N43" s="33"/>
      <c r="O43" s="33"/>
      <c r="Q43" s="21">
        <v>22</v>
      </c>
      <c r="R43" s="14" t="s">
        <v>102</v>
      </c>
      <c r="S43" s="40"/>
      <c r="T43" s="43"/>
      <c r="U43" s="33"/>
      <c r="V43" s="33"/>
    </row>
    <row r="44" spans="2:22">
      <c r="B44" s="21">
        <v>23</v>
      </c>
      <c r="C44" s="81">
        <v>514</v>
      </c>
      <c r="D44" s="30">
        <v>1724</v>
      </c>
      <c r="E44" s="30"/>
      <c r="F44" s="39"/>
      <c r="H44" s="15">
        <f>C44+D44+E42</f>
        <v>7840</v>
      </c>
      <c r="I44" s="15"/>
      <c r="J44" s="21">
        <v>23</v>
      </c>
      <c r="K44" s="30" t="s">
        <v>59</v>
      </c>
      <c r="L44" s="31" t="s">
        <v>103</v>
      </c>
      <c r="M44" s="32"/>
      <c r="N44" s="33"/>
      <c r="O44" s="33"/>
      <c r="Q44" s="21">
        <v>23</v>
      </c>
      <c r="R44" s="16" t="s">
        <v>104</v>
      </c>
      <c r="S44" s="42" t="s">
        <v>105</v>
      </c>
      <c r="T44" s="43"/>
      <c r="U44" s="33"/>
      <c r="V44" s="33"/>
    </row>
    <row r="45" spans="2:22" ht="13.5" thickBot="1">
      <c r="B45" s="21">
        <v>24</v>
      </c>
      <c r="C45" s="82">
        <v>512</v>
      </c>
      <c r="D45" s="34"/>
      <c r="E45" s="34"/>
      <c r="F45" s="39"/>
      <c r="H45" s="15">
        <f>C45+D44+E42</f>
        <v>7838</v>
      </c>
      <c r="I45" s="15"/>
      <c r="J45" s="21">
        <v>24</v>
      </c>
      <c r="K45" s="30" t="s">
        <v>59</v>
      </c>
      <c r="L45" s="35"/>
      <c r="M45" s="32"/>
      <c r="N45" s="33"/>
      <c r="O45" s="33"/>
      <c r="Q45" s="21">
        <v>24</v>
      </c>
      <c r="R45" s="44" t="s">
        <v>106</v>
      </c>
      <c r="S45" s="45"/>
      <c r="T45" s="43"/>
      <c r="U45" s="33"/>
      <c r="V45" s="33"/>
    </row>
    <row r="46" spans="2:22">
      <c r="B46" s="21">
        <v>26</v>
      </c>
      <c r="C46" s="109">
        <f>936-10</f>
        <v>926</v>
      </c>
      <c r="D46" s="48"/>
      <c r="E46" s="48"/>
      <c r="F46" s="33"/>
      <c r="H46" s="15">
        <f>C46+D24+E69</f>
        <v>7505</v>
      </c>
      <c r="I46" s="15"/>
      <c r="J46" s="21">
        <v>26</v>
      </c>
      <c r="K46" s="26" t="s">
        <v>59</v>
      </c>
      <c r="L46" s="26" t="s">
        <v>71</v>
      </c>
      <c r="M46" s="39"/>
      <c r="N46" s="33"/>
      <c r="O46" s="33"/>
      <c r="Q46" s="21">
        <v>26</v>
      </c>
      <c r="R46" s="14" t="s">
        <v>107</v>
      </c>
      <c r="S46" s="14" t="s">
        <v>73</v>
      </c>
      <c r="T46" s="47"/>
      <c r="U46" s="33"/>
      <c r="V46" s="33"/>
    </row>
    <row r="47" spans="2:22" ht="13.5" thickBot="1">
      <c r="B47" s="22">
        <v>27</v>
      </c>
      <c r="C47" s="110">
        <f>907-10</f>
        <v>897</v>
      </c>
      <c r="D47" s="33"/>
      <c r="E47" s="33"/>
      <c r="F47" s="33"/>
      <c r="H47" s="15">
        <v>7516</v>
      </c>
      <c r="I47" s="15"/>
      <c r="J47" s="22">
        <v>27</v>
      </c>
      <c r="K47" s="34" t="s">
        <v>59</v>
      </c>
      <c r="L47" s="34"/>
      <c r="M47" s="39"/>
      <c r="N47" s="33"/>
      <c r="O47" s="33"/>
      <c r="Q47" s="22">
        <v>27</v>
      </c>
      <c r="R47" s="44" t="s">
        <v>108</v>
      </c>
      <c r="S47" s="44"/>
      <c r="T47" s="47"/>
      <c r="U47" s="33"/>
      <c r="V47" s="33"/>
    </row>
    <row r="48" spans="2:22" ht="13.5" thickBot="1">
      <c r="H48" s="15"/>
    </row>
    <row r="49" spans="2:23" ht="16.5" thickBot="1">
      <c r="B49" s="15" t="s">
        <v>31</v>
      </c>
      <c r="C49" s="23"/>
      <c r="D49" s="145" t="s">
        <v>109</v>
      </c>
      <c r="E49" s="142"/>
      <c r="F49" s="23"/>
      <c r="G49"/>
      <c r="H49" s="15"/>
      <c r="I49" s="23"/>
      <c r="J49" s="15" t="s">
        <v>31</v>
      </c>
      <c r="K49" s="23"/>
      <c r="L49" s="139" t="s">
        <v>109</v>
      </c>
      <c r="M49" s="138"/>
      <c r="N49" s="23"/>
      <c r="O49" s="23"/>
      <c r="P49" s="8"/>
      <c r="Q49" s="15" t="s">
        <v>31</v>
      </c>
      <c r="R49" s="9"/>
      <c r="S49" s="143" t="s">
        <v>109</v>
      </c>
      <c r="T49" s="144"/>
      <c r="U49" s="9"/>
      <c r="V49" s="9"/>
      <c r="W49" s="8"/>
    </row>
    <row r="50" spans="2:23" ht="15.75">
      <c r="B50" s="14">
        <v>2</v>
      </c>
      <c r="C50" s="84">
        <v>1063</v>
      </c>
      <c r="D50" s="26"/>
      <c r="E50" s="27"/>
      <c r="F50" s="49"/>
      <c r="H50" s="15">
        <f>C50+D51+E52</f>
        <v>8518</v>
      </c>
      <c r="I50" s="15"/>
      <c r="J50" s="14">
        <v>2</v>
      </c>
      <c r="K50" s="26" t="s">
        <v>47</v>
      </c>
      <c r="L50" s="27"/>
      <c r="M50" s="28"/>
      <c r="N50" s="29"/>
      <c r="O50" s="29"/>
      <c r="Q50" s="14">
        <v>2</v>
      </c>
      <c r="R50" s="14" t="s">
        <v>110</v>
      </c>
      <c r="S50" s="40"/>
      <c r="T50" s="41"/>
      <c r="U50" s="29"/>
      <c r="V50" s="29"/>
    </row>
    <row r="51" spans="2:23" ht="15.75">
      <c r="B51" s="16">
        <v>3</v>
      </c>
      <c r="C51" s="85">
        <v>942</v>
      </c>
      <c r="D51" s="30">
        <v>1947</v>
      </c>
      <c r="E51" s="31"/>
      <c r="F51" s="49"/>
      <c r="H51" s="15">
        <f>C51+D51+E52</f>
        <v>8397</v>
      </c>
      <c r="I51" s="15"/>
      <c r="J51" s="16">
        <v>3</v>
      </c>
      <c r="K51" s="30" t="s">
        <v>47</v>
      </c>
      <c r="L51" s="31" t="s">
        <v>111</v>
      </c>
      <c r="M51" s="32"/>
      <c r="N51" s="29"/>
      <c r="O51" s="29"/>
      <c r="Q51" s="16">
        <v>3</v>
      </c>
      <c r="R51" s="16" t="s">
        <v>112</v>
      </c>
      <c r="S51" s="42" t="s">
        <v>113</v>
      </c>
      <c r="T51" s="43"/>
      <c r="U51" s="29"/>
      <c r="V51" s="29"/>
    </row>
    <row r="52" spans="2:23" ht="16.5" thickBot="1">
      <c r="B52" s="16">
        <v>4</v>
      </c>
      <c r="C52" s="85">
        <v>928</v>
      </c>
      <c r="D52" s="30"/>
      <c r="E52" s="99">
        <f>5553-30-15</f>
        <v>5508</v>
      </c>
      <c r="F52" s="49"/>
      <c r="H52" s="15">
        <f>C52+D51+E52</f>
        <v>8383</v>
      </c>
      <c r="I52" s="15"/>
      <c r="J52" s="16">
        <v>4</v>
      </c>
      <c r="K52" s="34" t="s">
        <v>47</v>
      </c>
      <c r="L52" s="31"/>
      <c r="M52" s="32" t="s">
        <v>114</v>
      </c>
      <c r="N52" s="29"/>
      <c r="O52" s="29"/>
      <c r="Q52" s="16">
        <v>4</v>
      </c>
      <c r="R52" s="16" t="s">
        <v>115</v>
      </c>
      <c r="S52" s="42"/>
      <c r="T52" s="43" t="s">
        <v>116</v>
      </c>
      <c r="U52" s="29"/>
      <c r="V52" s="29"/>
    </row>
    <row r="53" spans="2:23" ht="15.75">
      <c r="B53" s="21">
        <v>6</v>
      </c>
      <c r="C53" s="84">
        <v>931</v>
      </c>
      <c r="D53" s="30"/>
      <c r="E53" s="99"/>
      <c r="F53" s="49"/>
      <c r="H53" s="15">
        <f>C53+D54+E52</f>
        <v>8361</v>
      </c>
      <c r="I53" s="15"/>
      <c r="J53" s="21">
        <v>6</v>
      </c>
      <c r="K53" s="26" t="s">
        <v>47</v>
      </c>
      <c r="L53" s="27"/>
      <c r="M53" s="32"/>
      <c r="N53" s="29"/>
      <c r="O53" s="29"/>
      <c r="Q53" s="21">
        <v>6</v>
      </c>
      <c r="R53" s="14" t="s">
        <v>117</v>
      </c>
      <c r="S53" s="40"/>
      <c r="T53" s="43"/>
      <c r="U53" s="29"/>
      <c r="V53" s="29"/>
    </row>
    <row r="54" spans="2:23">
      <c r="B54" s="21">
        <v>7</v>
      </c>
      <c r="C54" s="85">
        <v>923</v>
      </c>
      <c r="D54" s="30">
        <v>1922</v>
      </c>
      <c r="E54" s="99"/>
      <c r="F54" s="39"/>
      <c r="H54" s="15">
        <f>C54+D54+E52</f>
        <v>8353</v>
      </c>
      <c r="I54" s="15"/>
      <c r="J54" s="21">
        <v>7</v>
      </c>
      <c r="K54" s="30" t="s">
        <v>47</v>
      </c>
      <c r="L54" s="31" t="s">
        <v>111</v>
      </c>
      <c r="M54" s="32"/>
      <c r="N54" s="33"/>
      <c r="O54" s="33"/>
      <c r="Q54" s="21">
        <v>7</v>
      </c>
      <c r="R54" s="16" t="s">
        <v>118</v>
      </c>
      <c r="S54" s="42" t="s">
        <v>119</v>
      </c>
      <c r="T54" s="43"/>
      <c r="U54" s="33"/>
      <c r="V54" s="33"/>
    </row>
    <row r="55" spans="2:23" ht="13.5" thickBot="1">
      <c r="B55" s="21">
        <v>8</v>
      </c>
      <c r="C55" s="86">
        <v>1018</v>
      </c>
      <c r="D55" s="34"/>
      <c r="E55" s="100"/>
      <c r="F55" s="39"/>
      <c r="H55" s="15">
        <f>C55+D54+E52</f>
        <v>8448</v>
      </c>
      <c r="I55" s="15"/>
      <c r="J55" s="21">
        <v>8</v>
      </c>
      <c r="K55" s="34" t="s">
        <v>47</v>
      </c>
      <c r="L55" s="35"/>
      <c r="M55" s="36"/>
      <c r="N55" s="33"/>
      <c r="O55" s="33"/>
      <c r="Q55" s="21">
        <v>8</v>
      </c>
      <c r="R55" s="44" t="s">
        <v>120</v>
      </c>
      <c r="S55" s="45"/>
      <c r="T55" s="46"/>
      <c r="U55" s="33"/>
      <c r="V55" s="33"/>
    </row>
    <row r="56" spans="2:23">
      <c r="B56" s="21">
        <v>10</v>
      </c>
      <c r="C56" s="84">
        <v>953</v>
      </c>
      <c r="D56" s="30"/>
      <c r="E56" s="101"/>
      <c r="F56" s="39"/>
      <c r="H56" s="15">
        <f>C56+D57+E58</f>
        <v>8371</v>
      </c>
      <c r="I56" s="15"/>
      <c r="J56" s="21">
        <v>10</v>
      </c>
      <c r="K56" s="26" t="s">
        <v>47</v>
      </c>
      <c r="L56" s="27"/>
      <c r="M56" s="28"/>
      <c r="N56" s="33"/>
      <c r="O56" s="33"/>
      <c r="Q56" s="21">
        <v>10</v>
      </c>
      <c r="R56" s="14" t="s">
        <v>121</v>
      </c>
      <c r="S56" s="40"/>
      <c r="T56" s="41"/>
      <c r="U56" s="33"/>
      <c r="V56" s="33"/>
    </row>
    <row r="57" spans="2:23">
      <c r="B57" s="21">
        <v>11</v>
      </c>
      <c r="C57" s="85">
        <v>858</v>
      </c>
      <c r="D57" s="30">
        <v>1846</v>
      </c>
      <c r="E57" s="99"/>
      <c r="F57" s="39"/>
      <c r="H57" s="15">
        <f>C57+D57+E58</f>
        <v>8276</v>
      </c>
      <c r="I57" s="15"/>
      <c r="J57" s="21">
        <v>11</v>
      </c>
      <c r="K57" s="30" t="s">
        <v>47</v>
      </c>
      <c r="L57" s="31" t="s">
        <v>111</v>
      </c>
      <c r="M57" s="32"/>
      <c r="N57" s="33"/>
      <c r="O57" s="33"/>
      <c r="Q57" s="21">
        <v>11</v>
      </c>
      <c r="R57" s="16" t="s">
        <v>122</v>
      </c>
      <c r="S57" s="42" t="s">
        <v>123</v>
      </c>
      <c r="T57" s="43"/>
      <c r="U57" s="33"/>
      <c r="V57" s="33"/>
    </row>
    <row r="58" spans="2:23" ht="13.5" thickBot="1">
      <c r="B58" s="21">
        <v>12</v>
      </c>
      <c r="C58" s="85">
        <v>857</v>
      </c>
      <c r="D58" s="30"/>
      <c r="E58" s="99">
        <f>5617-30-15</f>
        <v>5572</v>
      </c>
      <c r="F58" s="39"/>
      <c r="H58" s="15">
        <f>C58+D57+E58</f>
        <v>8275</v>
      </c>
      <c r="I58" s="15"/>
      <c r="J58" s="21">
        <v>12</v>
      </c>
      <c r="K58" s="34" t="s">
        <v>47</v>
      </c>
      <c r="L58" s="31"/>
      <c r="M58" s="32" t="s">
        <v>124</v>
      </c>
      <c r="N58" s="33"/>
      <c r="O58" s="33"/>
      <c r="Q58" s="21">
        <v>12</v>
      </c>
      <c r="R58" s="16" t="s">
        <v>125</v>
      </c>
      <c r="S58" s="42"/>
      <c r="T58" s="43" t="s">
        <v>126</v>
      </c>
      <c r="U58" s="33"/>
      <c r="V58" s="33"/>
    </row>
    <row r="59" spans="2:23">
      <c r="B59" s="21">
        <v>14</v>
      </c>
      <c r="C59" s="84">
        <v>775</v>
      </c>
      <c r="D59" s="30"/>
      <c r="E59" s="99"/>
      <c r="F59" s="39"/>
      <c r="H59" s="15">
        <f>C59+D60+E58</f>
        <v>8263</v>
      </c>
      <c r="I59" s="15"/>
      <c r="J59" s="21">
        <v>14</v>
      </c>
      <c r="K59" s="26" t="s">
        <v>47</v>
      </c>
      <c r="L59" s="27"/>
      <c r="M59" s="32"/>
      <c r="N59" s="33"/>
      <c r="O59" s="33"/>
      <c r="Q59" s="21">
        <v>14</v>
      </c>
      <c r="R59" s="14" t="s">
        <v>127</v>
      </c>
      <c r="S59" s="40"/>
      <c r="T59" s="43"/>
      <c r="U59" s="33"/>
      <c r="V59" s="33"/>
    </row>
    <row r="60" spans="2:23">
      <c r="B60" s="21">
        <v>15</v>
      </c>
      <c r="C60" s="87">
        <v>770</v>
      </c>
      <c r="D60" s="30">
        <v>1916</v>
      </c>
      <c r="E60" s="99"/>
      <c r="F60" s="39"/>
      <c r="H60" s="15">
        <f>C60+D60+E58</f>
        <v>8258</v>
      </c>
      <c r="I60" s="15"/>
      <c r="J60" s="21">
        <v>15</v>
      </c>
      <c r="K60" s="30" t="s">
        <v>47</v>
      </c>
      <c r="L60" s="31" t="s">
        <v>128</v>
      </c>
      <c r="M60" s="32"/>
      <c r="N60" s="33"/>
      <c r="O60" s="33"/>
      <c r="Q60" s="21">
        <v>15</v>
      </c>
      <c r="R60" s="16" t="s">
        <v>129</v>
      </c>
      <c r="S60" s="42" t="s">
        <v>130</v>
      </c>
      <c r="T60" s="43"/>
      <c r="U60" s="33"/>
      <c r="V60" s="33"/>
    </row>
    <row r="61" spans="2:23" ht="13.5" thickBot="1">
      <c r="B61" s="21">
        <v>16</v>
      </c>
      <c r="C61" s="88">
        <v>844</v>
      </c>
      <c r="D61" s="34"/>
      <c r="E61" s="100"/>
      <c r="F61" s="39"/>
      <c r="H61" s="15">
        <f>C61+D60+E58</f>
        <v>8332</v>
      </c>
      <c r="I61" s="15"/>
      <c r="J61" s="21">
        <v>16</v>
      </c>
      <c r="K61" s="34" t="s">
        <v>47</v>
      </c>
      <c r="L61" s="35"/>
      <c r="M61" s="36"/>
      <c r="N61" s="33"/>
      <c r="O61" s="33"/>
      <c r="Q61" s="21">
        <v>16</v>
      </c>
      <c r="R61" s="44" t="s">
        <v>131</v>
      </c>
      <c r="S61" s="45"/>
      <c r="T61" s="46"/>
      <c r="U61" s="33"/>
      <c r="V61" s="33"/>
    </row>
    <row r="62" spans="2:23">
      <c r="B62" s="21">
        <v>18</v>
      </c>
      <c r="C62" s="89">
        <v>732</v>
      </c>
      <c r="D62" s="30"/>
      <c r="E62" s="101"/>
      <c r="F62" s="39"/>
      <c r="H62" s="15">
        <f>C62+D63+E64</f>
        <v>8191</v>
      </c>
      <c r="I62" s="15"/>
      <c r="J62" s="21">
        <v>18</v>
      </c>
      <c r="K62" s="26" t="s">
        <v>59</v>
      </c>
      <c r="L62" s="27"/>
      <c r="M62" s="28"/>
      <c r="N62" s="33"/>
      <c r="O62" s="33"/>
      <c r="Q62" s="21">
        <v>18</v>
      </c>
      <c r="R62" s="14" t="s">
        <v>132</v>
      </c>
      <c r="S62" s="40"/>
      <c r="T62" s="41"/>
      <c r="U62" s="33"/>
      <c r="V62" s="33"/>
    </row>
    <row r="63" spans="2:23">
      <c r="B63" s="21">
        <v>19</v>
      </c>
      <c r="C63" s="87">
        <v>631</v>
      </c>
      <c r="D63" s="30">
        <v>1473</v>
      </c>
      <c r="E63" s="99"/>
      <c r="F63" s="39"/>
      <c r="H63" s="15">
        <f>C63+D63+E64</f>
        <v>8090</v>
      </c>
      <c r="I63" s="15"/>
      <c r="J63" s="21">
        <v>19</v>
      </c>
      <c r="K63" s="30" t="s">
        <v>59</v>
      </c>
      <c r="L63" s="31" t="s">
        <v>128</v>
      </c>
      <c r="M63" s="32"/>
      <c r="N63" s="33"/>
      <c r="O63" s="33"/>
      <c r="Q63" s="21">
        <v>19</v>
      </c>
      <c r="R63" s="16" t="s">
        <v>133</v>
      </c>
      <c r="S63" s="42" t="s">
        <v>134</v>
      </c>
      <c r="T63" s="43"/>
      <c r="U63" s="33"/>
      <c r="V63" s="33"/>
    </row>
    <row r="64" spans="2:23" ht="13.5" customHeight="1" thickBot="1">
      <c r="B64" s="21">
        <v>20</v>
      </c>
      <c r="C64" s="87">
        <v>594</v>
      </c>
      <c r="D64" s="30"/>
      <c r="E64" s="99">
        <f>6041-40-15</f>
        <v>5986</v>
      </c>
      <c r="F64" s="39"/>
      <c r="H64" s="15">
        <f>C64+D63+E64</f>
        <v>8053</v>
      </c>
      <c r="I64" s="15"/>
      <c r="J64" s="21">
        <v>20</v>
      </c>
      <c r="K64" s="30" t="s">
        <v>59</v>
      </c>
      <c r="L64" s="31"/>
      <c r="M64" s="32" t="s">
        <v>124</v>
      </c>
      <c r="N64" s="33"/>
      <c r="O64" s="33"/>
      <c r="Q64" s="21">
        <v>20</v>
      </c>
      <c r="R64" s="16" t="s">
        <v>135</v>
      </c>
      <c r="S64" s="42"/>
      <c r="T64" s="43" t="s">
        <v>136</v>
      </c>
      <c r="U64" s="33"/>
      <c r="V64" s="33"/>
    </row>
    <row r="65" spans="2:22" ht="13.5" customHeight="1">
      <c r="B65" s="21">
        <v>22</v>
      </c>
      <c r="C65" s="80">
        <v>585</v>
      </c>
      <c r="D65" s="30"/>
      <c r="E65" s="99"/>
      <c r="F65" s="39"/>
      <c r="H65" s="15">
        <f>C65+D66+E64</f>
        <v>7934</v>
      </c>
      <c r="I65" s="15"/>
      <c r="J65" s="21">
        <v>22</v>
      </c>
      <c r="K65" s="26" t="s">
        <v>59</v>
      </c>
      <c r="L65" s="27"/>
      <c r="M65" s="32"/>
      <c r="N65" s="33"/>
      <c r="O65" s="33"/>
      <c r="Q65" s="21">
        <v>22</v>
      </c>
      <c r="R65" s="14" t="s">
        <v>137</v>
      </c>
      <c r="S65" s="40"/>
      <c r="T65" s="43"/>
      <c r="U65" s="33"/>
      <c r="V65" s="33"/>
    </row>
    <row r="66" spans="2:22" ht="13.5" customHeight="1">
      <c r="B66" s="21">
        <v>23</v>
      </c>
      <c r="C66" s="81">
        <v>508</v>
      </c>
      <c r="D66" s="30">
        <v>1363</v>
      </c>
      <c r="E66" s="99"/>
      <c r="F66" s="39"/>
      <c r="H66" s="15">
        <f>C66+D66+E64</f>
        <v>7857</v>
      </c>
      <c r="I66" s="15"/>
      <c r="J66" s="21">
        <v>23</v>
      </c>
      <c r="K66" s="30" t="s">
        <v>59</v>
      </c>
      <c r="L66" s="31" t="s">
        <v>128</v>
      </c>
      <c r="M66" s="32"/>
      <c r="N66" s="33"/>
      <c r="O66" s="33"/>
      <c r="Q66" s="21">
        <v>23</v>
      </c>
      <c r="R66" s="16" t="s">
        <v>138</v>
      </c>
      <c r="S66" s="42" t="s">
        <v>139</v>
      </c>
      <c r="T66" s="43"/>
      <c r="U66" s="33"/>
      <c r="V66" s="33"/>
    </row>
    <row r="67" spans="2:22" ht="13.5" customHeight="1" thickBot="1">
      <c r="B67" s="21">
        <v>24</v>
      </c>
      <c r="C67" s="82">
        <v>484</v>
      </c>
      <c r="D67" s="34"/>
      <c r="E67" s="100"/>
      <c r="F67" s="39"/>
      <c r="H67" s="15">
        <f>C67+D66+E64</f>
        <v>7833</v>
      </c>
      <c r="I67" s="15"/>
      <c r="J67" s="21">
        <v>24</v>
      </c>
      <c r="K67" s="30" t="s">
        <v>59</v>
      </c>
      <c r="L67" s="31"/>
      <c r="M67" s="32"/>
      <c r="N67" s="33"/>
      <c r="O67" s="33"/>
      <c r="Q67" s="21">
        <v>24</v>
      </c>
      <c r="R67" s="44" t="s">
        <v>140</v>
      </c>
      <c r="S67" s="45"/>
      <c r="T67" s="43"/>
      <c r="U67" s="33"/>
      <c r="V67" s="33"/>
    </row>
    <row r="68" spans="2:22" ht="13.5" customHeight="1">
      <c r="B68" s="21">
        <v>26</v>
      </c>
      <c r="C68" s="112">
        <f>984-20</f>
        <v>964</v>
      </c>
      <c r="D68" s="48"/>
      <c r="E68" s="102"/>
      <c r="F68" s="33"/>
      <c r="H68" s="15">
        <f>C68+D69+E69</f>
        <v>7543</v>
      </c>
      <c r="I68" s="15"/>
      <c r="J68" s="21">
        <v>26</v>
      </c>
      <c r="K68" s="26" t="s">
        <v>59</v>
      </c>
      <c r="L68" s="37"/>
      <c r="M68" s="27"/>
      <c r="N68" s="39"/>
      <c r="O68" s="33"/>
      <c r="Q68" s="21">
        <v>26</v>
      </c>
      <c r="R68" s="14" t="s">
        <v>141</v>
      </c>
      <c r="S68" s="14"/>
      <c r="T68" s="47"/>
      <c r="U68" s="33"/>
      <c r="V68" s="33"/>
    </row>
    <row r="69" spans="2:22" ht="13.5" customHeight="1" thickBot="1">
      <c r="B69" s="22">
        <v>27</v>
      </c>
      <c r="C69" s="106">
        <f>964-20-14</f>
        <v>930</v>
      </c>
      <c r="D69" s="33">
        <v>800</v>
      </c>
      <c r="E69" s="111">
        <f>5809-30</f>
        <v>5779</v>
      </c>
      <c r="F69" s="33"/>
      <c r="H69" s="15">
        <f>C69+D69+E69</f>
        <v>7509</v>
      </c>
      <c r="I69" s="15"/>
      <c r="J69" s="22">
        <v>27</v>
      </c>
      <c r="K69" s="34" t="s">
        <v>59</v>
      </c>
      <c r="L69" s="38" t="s">
        <v>142</v>
      </c>
      <c r="M69" s="35" t="s">
        <v>128</v>
      </c>
      <c r="N69" s="39"/>
      <c r="O69" s="33"/>
      <c r="Q69" s="22">
        <v>27</v>
      </c>
      <c r="R69" s="44" t="s">
        <v>143</v>
      </c>
      <c r="S69" s="44" t="s">
        <v>144</v>
      </c>
      <c r="T69" s="47" t="s">
        <v>145</v>
      </c>
      <c r="U69" s="33"/>
      <c r="V69" s="33"/>
    </row>
    <row r="70" spans="2:22" ht="13.5" customHeight="1" thickBot="1">
      <c r="H70" s="15"/>
    </row>
    <row r="71" spans="2:22" ht="13.5" customHeight="1" thickBot="1">
      <c r="B71" s="15" t="s">
        <v>31</v>
      </c>
      <c r="C71" s="23"/>
      <c r="D71" s="145" t="s">
        <v>146</v>
      </c>
      <c r="E71" s="142"/>
      <c r="F71" s="23"/>
      <c r="H71" s="15"/>
      <c r="J71" s="15" t="s">
        <v>31</v>
      </c>
      <c r="K71" s="23"/>
      <c r="L71" s="139" t="s">
        <v>146</v>
      </c>
      <c r="M71" s="138"/>
      <c r="N71" s="23"/>
      <c r="O71" s="23"/>
      <c r="P71" s="8"/>
      <c r="Q71" s="15" t="s">
        <v>31</v>
      </c>
      <c r="R71" s="9"/>
      <c r="S71" s="143" t="s">
        <v>146</v>
      </c>
      <c r="T71" s="144"/>
      <c r="U71" s="9"/>
      <c r="V71" s="9"/>
    </row>
    <row r="72" spans="2:22" ht="13.5" customHeight="1">
      <c r="B72" s="14">
        <v>2</v>
      </c>
      <c r="C72" s="89">
        <v>1068</v>
      </c>
      <c r="D72" s="26"/>
      <c r="E72" s="27"/>
      <c r="F72" s="49"/>
      <c r="H72" s="15">
        <f>C72+D73+E74</f>
        <v>8656</v>
      </c>
      <c r="I72" s="15"/>
      <c r="J72" s="14">
        <v>2</v>
      </c>
      <c r="K72" s="26" t="s">
        <v>47</v>
      </c>
      <c r="L72" s="26"/>
      <c r="M72" s="27"/>
      <c r="N72" s="27"/>
      <c r="O72" s="29"/>
      <c r="Q72" s="14">
        <v>2</v>
      </c>
      <c r="R72" s="28" t="s">
        <v>147</v>
      </c>
      <c r="S72" s="26"/>
      <c r="T72" s="27"/>
      <c r="U72" s="29"/>
      <c r="V72" s="29"/>
    </row>
    <row r="73" spans="2:22" ht="13.5" customHeight="1">
      <c r="B73" s="16">
        <v>3</v>
      </c>
      <c r="C73" s="87">
        <v>942</v>
      </c>
      <c r="D73" s="30">
        <v>1711</v>
      </c>
      <c r="E73" s="31"/>
      <c r="F73" s="49"/>
      <c r="H73" s="15">
        <f>C73+D73+E74</f>
        <v>8530</v>
      </c>
      <c r="I73" s="15"/>
      <c r="J73" s="16">
        <v>3</v>
      </c>
      <c r="K73" s="30" t="s">
        <v>47</v>
      </c>
      <c r="L73" s="30" t="s">
        <v>111</v>
      </c>
      <c r="M73" s="31"/>
      <c r="N73" s="31"/>
      <c r="O73" s="29"/>
      <c r="Q73" s="16">
        <v>3</v>
      </c>
      <c r="R73" s="32" t="s">
        <v>148</v>
      </c>
      <c r="S73" s="30" t="s">
        <v>149</v>
      </c>
      <c r="T73" s="31"/>
      <c r="U73" s="29"/>
      <c r="V73" s="29"/>
    </row>
    <row r="74" spans="2:22" ht="13.5" customHeight="1" thickBot="1">
      <c r="B74" s="16">
        <v>4</v>
      </c>
      <c r="C74" s="87">
        <v>922</v>
      </c>
      <c r="D74" s="30"/>
      <c r="E74" s="113">
        <f>5917-40</f>
        <v>5877</v>
      </c>
      <c r="F74" s="49"/>
      <c r="H74" s="15">
        <f>C74+D73+E74</f>
        <v>8510</v>
      </c>
      <c r="I74" s="15"/>
      <c r="J74" s="16">
        <v>4</v>
      </c>
      <c r="K74" s="34" t="s">
        <v>47</v>
      </c>
      <c r="L74" s="30"/>
      <c r="M74" s="31" t="s">
        <v>124</v>
      </c>
      <c r="N74" s="31"/>
      <c r="O74" s="29"/>
      <c r="Q74" s="16">
        <v>4</v>
      </c>
      <c r="R74" s="32" t="s">
        <v>150</v>
      </c>
      <c r="S74" s="30"/>
      <c r="T74" s="31" t="s">
        <v>151</v>
      </c>
      <c r="U74" s="29"/>
      <c r="V74" s="29"/>
    </row>
    <row r="75" spans="2:22" ht="13.5" customHeight="1">
      <c r="B75" s="21">
        <v>6</v>
      </c>
      <c r="C75" s="89">
        <v>919</v>
      </c>
      <c r="D75" s="30"/>
      <c r="E75" s="113"/>
      <c r="F75" s="49"/>
      <c r="H75" s="15">
        <f>C75+D76+E74</f>
        <v>8491</v>
      </c>
      <c r="I75" s="15"/>
      <c r="J75" s="21">
        <v>6</v>
      </c>
      <c r="K75" s="26" t="s">
        <v>47</v>
      </c>
      <c r="L75" s="30"/>
      <c r="M75" s="31"/>
      <c r="N75" s="31"/>
      <c r="O75" s="29"/>
      <c r="Q75" s="21">
        <v>6</v>
      </c>
      <c r="R75" s="28" t="s">
        <v>152</v>
      </c>
      <c r="S75" s="30"/>
      <c r="T75" s="31"/>
      <c r="U75" s="29"/>
      <c r="V75" s="29"/>
    </row>
    <row r="76" spans="2:22" ht="13.5" customHeight="1">
      <c r="B76" s="21">
        <v>7</v>
      </c>
      <c r="C76" s="87">
        <v>921</v>
      </c>
      <c r="D76" s="30">
        <v>1695</v>
      </c>
      <c r="E76" s="113"/>
      <c r="F76" s="39"/>
      <c r="H76" s="15">
        <f>C76+D76+E74</f>
        <v>8493</v>
      </c>
      <c r="I76" s="15"/>
      <c r="J76" s="21">
        <v>7</v>
      </c>
      <c r="K76" s="30" t="s">
        <v>47</v>
      </c>
      <c r="L76" s="30" t="s">
        <v>111</v>
      </c>
      <c r="M76" s="31"/>
      <c r="N76" s="31"/>
      <c r="O76" s="33"/>
      <c r="Q76" s="21">
        <v>7</v>
      </c>
      <c r="R76" s="32" t="s">
        <v>153</v>
      </c>
      <c r="S76" s="30" t="s">
        <v>154</v>
      </c>
      <c r="T76" s="31"/>
      <c r="U76" s="33"/>
      <c r="V76" s="33"/>
    </row>
    <row r="77" spans="2:22" ht="13.5" customHeight="1" thickBot="1">
      <c r="B77" s="21">
        <v>8</v>
      </c>
      <c r="C77" s="88">
        <v>1025</v>
      </c>
      <c r="D77" s="34"/>
      <c r="E77" s="114"/>
      <c r="F77" s="39"/>
      <c r="H77" s="15">
        <f>C77+D76+E74</f>
        <v>8597</v>
      </c>
      <c r="I77" s="15"/>
      <c r="J77" s="21">
        <v>8</v>
      </c>
      <c r="K77" s="34" t="s">
        <v>47</v>
      </c>
      <c r="L77" s="34"/>
      <c r="M77" s="35"/>
      <c r="N77" s="35"/>
      <c r="O77" s="33"/>
      <c r="Q77" s="21">
        <v>8</v>
      </c>
      <c r="R77" s="36" t="s">
        <v>155</v>
      </c>
      <c r="S77" s="34"/>
      <c r="T77" s="35"/>
      <c r="U77" s="33"/>
      <c r="V77" s="33"/>
    </row>
    <row r="78" spans="2:22" ht="13.5" customHeight="1">
      <c r="B78" s="21">
        <v>10</v>
      </c>
      <c r="C78" s="89">
        <v>960</v>
      </c>
      <c r="D78" s="26"/>
      <c r="E78" s="115"/>
      <c r="F78" s="39"/>
      <c r="H78" s="15">
        <f>C78+D79+E80</f>
        <v>8517</v>
      </c>
      <c r="I78" s="15"/>
      <c r="J78" s="21">
        <v>10</v>
      </c>
      <c r="K78" s="26" t="s">
        <v>47</v>
      </c>
      <c r="L78" s="26"/>
      <c r="M78" s="27"/>
      <c r="N78" s="27"/>
      <c r="O78" s="33"/>
      <c r="Q78" s="21">
        <v>10</v>
      </c>
      <c r="R78" s="28" t="s">
        <v>156</v>
      </c>
      <c r="S78" s="26"/>
      <c r="T78" s="27"/>
      <c r="U78" s="33"/>
      <c r="V78" s="33"/>
    </row>
    <row r="79" spans="2:22" ht="13.5" customHeight="1">
      <c r="B79" s="21">
        <v>11</v>
      </c>
      <c r="C79" s="87">
        <v>860</v>
      </c>
      <c r="D79" s="30">
        <v>1678</v>
      </c>
      <c r="E79" s="113"/>
      <c r="F79" s="39"/>
      <c r="H79" s="15">
        <f>C79+D79+E80</f>
        <v>8417</v>
      </c>
      <c r="I79" s="15"/>
      <c r="J79" s="21">
        <v>11</v>
      </c>
      <c r="K79" s="30" t="s">
        <v>47</v>
      </c>
      <c r="L79" s="30" t="s">
        <v>128</v>
      </c>
      <c r="M79" s="31"/>
      <c r="N79" s="31"/>
      <c r="O79" s="33"/>
      <c r="Q79" s="21">
        <v>11</v>
      </c>
      <c r="R79" s="32" t="s">
        <v>157</v>
      </c>
      <c r="S79" s="30" t="s">
        <v>158</v>
      </c>
      <c r="T79" s="31"/>
      <c r="U79" s="33"/>
      <c r="V79" s="33"/>
    </row>
    <row r="80" spans="2:22" ht="13.5" customHeight="1" thickBot="1">
      <c r="B80" s="21">
        <v>12</v>
      </c>
      <c r="C80" s="87">
        <v>855</v>
      </c>
      <c r="D80" s="30"/>
      <c r="E80" s="113">
        <f>5919-40</f>
        <v>5879</v>
      </c>
      <c r="F80" s="39"/>
      <c r="H80" s="15">
        <f>C80+D79+E80</f>
        <v>8412</v>
      </c>
      <c r="I80" s="15"/>
      <c r="J80" s="21">
        <v>12</v>
      </c>
      <c r="K80" s="34" t="s">
        <v>47</v>
      </c>
      <c r="L80" s="30"/>
      <c r="M80" s="31" t="s">
        <v>124</v>
      </c>
      <c r="N80" s="31"/>
      <c r="O80" s="33"/>
      <c r="Q80" s="21">
        <v>12</v>
      </c>
      <c r="R80" s="32" t="s">
        <v>159</v>
      </c>
      <c r="S80" s="30"/>
      <c r="T80" s="31" t="s">
        <v>160</v>
      </c>
      <c r="U80" s="33"/>
      <c r="V80" s="33"/>
    </row>
    <row r="81" spans="2:22" ht="13.5" customHeight="1">
      <c r="B81" s="21">
        <v>14</v>
      </c>
      <c r="C81" s="89">
        <v>774</v>
      </c>
      <c r="D81" s="30"/>
      <c r="E81" s="31"/>
      <c r="F81" s="39"/>
      <c r="H81" s="15">
        <f>C81+D82+E80</f>
        <v>8409</v>
      </c>
      <c r="I81" s="15"/>
      <c r="J81" s="21">
        <v>14</v>
      </c>
      <c r="K81" s="26" t="s">
        <v>47</v>
      </c>
      <c r="L81" s="30"/>
      <c r="M81" s="31"/>
      <c r="N81" s="31"/>
      <c r="O81" s="33"/>
      <c r="Q81" s="21">
        <v>14</v>
      </c>
      <c r="R81" s="28" t="s">
        <v>161</v>
      </c>
      <c r="S81" s="30"/>
      <c r="T81" s="31"/>
      <c r="U81" s="33"/>
      <c r="V81" s="33"/>
    </row>
    <row r="82" spans="2:22" ht="13.5" customHeight="1">
      <c r="B82" s="21">
        <v>15</v>
      </c>
      <c r="C82" s="87">
        <v>773</v>
      </c>
      <c r="D82" s="30">
        <v>1756</v>
      </c>
      <c r="E82" s="31"/>
      <c r="F82" s="39"/>
      <c r="H82" s="15">
        <f>C82+D82+E80</f>
        <v>8408</v>
      </c>
      <c r="I82" s="15"/>
      <c r="J82" s="21">
        <v>15</v>
      </c>
      <c r="K82" s="30" t="s">
        <v>47</v>
      </c>
      <c r="L82" s="30" t="s">
        <v>128</v>
      </c>
      <c r="M82" s="31"/>
      <c r="N82" s="31"/>
      <c r="O82" s="33"/>
      <c r="Q82" s="21">
        <v>15</v>
      </c>
      <c r="R82" s="32" t="s">
        <v>162</v>
      </c>
      <c r="S82" s="30" t="s">
        <v>163</v>
      </c>
      <c r="T82" s="31"/>
      <c r="U82" s="33"/>
      <c r="V82" s="33"/>
    </row>
    <row r="83" spans="2:22" ht="13.5" customHeight="1" thickBot="1">
      <c r="B83" s="21">
        <v>16</v>
      </c>
      <c r="C83" s="88">
        <v>850</v>
      </c>
      <c r="D83" s="30"/>
      <c r="E83" s="35"/>
      <c r="F83" s="39"/>
      <c r="H83" s="15">
        <f>C83+D82+E80</f>
        <v>8485</v>
      </c>
      <c r="I83" s="15"/>
      <c r="J83" s="21">
        <v>16</v>
      </c>
      <c r="K83" s="34" t="s">
        <v>47</v>
      </c>
      <c r="L83" s="30"/>
      <c r="M83" s="35"/>
      <c r="N83" s="35"/>
      <c r="O83" s="33"/>
      <c r="Q83" s="21">
        <v>16</v>
      </c>
      <c r="R83" s="36" t="s">
        <v>164</v>
      </c>
      <c r="S83" s="30"/>
      <c r="T83" s="35"/>
      <c r="U83" s="33"/>
      <c r="V83" s="33"/>
    </row>
    <row r="84" spans="2:22" ht="13.5" customHeight="1">
      <c r="B84" s="21">
        <v>18</v>
      </c>
      <c r="C84" s="90">
        <v>768</v>
      </c>
      <c r="D84" s="104">
        <f>1555-20</f>
        <v>1535</v>
      </c>
      <c r="E84" s="27"/>
      <c r="F84" s="39"/>
      <c r="H84" s="15">
        <f>C84+D84+E64</f>
        <v>8289</v>
      </c>
      <c r="I84" s="15"/>
      <c r="J84" s="21">
        <v>18</v>
      </c>
      <c r="K84" s="4" t="s">
        <v>47</v>
      </c>
      <c r="L84" s="26" t="s">
        <v>128</v>
      </c>
      <c r="M84" s="27"/>
      <c r="N84" s="27"/>
      <c r="O84" s="33"/>
      <c r="Q84" s="21">
        <v>18</v>
      </c>
      <c r="R84" s="4" t="s">
        <v>165</v>
      </c>
      <c r="S84" s="26" t="s">
        <v>166</v>
      </c>
      <c r="T84" s="27"/>
      <c r="U84" s="33"/>
      <c r="V84" s="33"/>
    </row>
    <row r="85" spans="2:22" ht="13.5" customHeight="1" thickBot="1">
      <c r="B85" s="21">
        <v>20</v>
      </c>
      <c r="C85" s="91">
        <v>620</v>
      </c>
      <c r="D85" s="107"/>
      <c r="E85" s="31"/>
      <c r="F85" s="39"/>
      <c r="H85" s="15">
        <f>C85+D84+E64</f>
        <v>8141</v>
      </c>
      <c r="I85" s="15"/>
      <c r="J85" s="21">
        <v>20</v>
      </c>
      <c r="K85" s="5" t="s">
        <v>47</v>
      </c>
      <c r="L85" s="34"/>
      <c r="M85" s="31"/>
      <c r="N85" s="31"/>
      <c r="O85" s="33"/>
      <c r="Q85" s="21">
        <v>20</v>
      </c>
      <c r="R85" s="5" t="s">
        <v>167</v>
      </c>
      <c r="S85" s="30"/>
      <c r="T85" s="31"/>
      <c r="U85" s="33"/>
      <c r="V85" s="33"/>
    </row>
    <row r="86" spans="2:22" ht="13.5" customHeight="1">
      <c r="B86" s="21">
        <v>22</v>
      </c>
      <c r="C86" s="90">
        <v>615</v>
      </c>
      <c r="D86" s="116">
        <f>1433-20</f>
        <v>1413</v>
      </c>
      <c r="E86" s="31"/>
      <c r="F86" s="39"/>
      <c r="H86" s="15">
        <f>C86+D86+E64</f>
        <v>8014</v>
      </c>
      <c r="I86" s="15"/>
      <c r="J86" s="21">
        <v>22</v>
      </c>
      <c r="K86" s="4" t="s">
        <v>47</v>
      </c>
      <c r="L86" s="26" t="s">
        <v>128</v>
      </c>
      <c r="M86" s="31"/>
      <c r="N86" s="31"/>
      <c r="O86" s="33"/>
      <c r="Q86" s="21">
        <v>22</v>
      </c>
      <c r="R86" s="4" t="s">
        <v>168</v>
      </c>
      <c r="S86" s="2" t="s">
        <v>169</v>
      </c>
      <c r="T86" s="31"/>
      <c r="U86" s="33"/>
      <c r="V86" s="33"/>
    </row>
    <row r="87" spans="2:22" ht="13.5" customHeight="1" thickBot="1">
      <c r="B87" s="21">
        <v>24</v>
      </c>
      <c r="C87" s="91">
        <f>504</f>
        <v>504</v>
      </c>
      <c r="D87" s="34"/>
      <c r="E87" s="35"/>
      <c r="F87" s="39"/>
      <c r="H87" s="15">
        <f>C87+D86+E64</f>
        <v>7903</v>
      </c>
      <c r="I87" s="15"/>
      <c r="J87" s="21">
        <v>24</v>
      </c>
      <c r="K87" s="5" t="s">
        <v>47</v>
      </c>
      <c r="L87" s="34"/>
      <c r="M87" s="35"/>
      <c r="N87" s="35"/>
      <c r="O87" s="33"/>
      <c r="Q87" s="21">
        <v>24</v>
      </c>
      <c r="R87" s="5" t="s">
        <v>170</v>
      </c>
      <c r="S87" s="34"/>
      <c r="T87" s="35"/>
      <c r="U87" s="33"/>
      <c r="V87" s="33"/>
    </row>
    <row r="88" spans="2:22" ht="13.5" customHeight="1" thickBot="1">
      <c r="B88" s="22">
        <v>26</v>
      </c>
      <c r="C88" s="105">
        <f>1060-15-20</f>
        <v>1025</v>
      </c>
      <c r="D88" s="34"/>
      <c r="E88" s="38"/>
      <c r="F88" s="33"/>
      <c r="H88" s="15">
        <f>C88+D69+E69</f>
        <v>7604</v>
      </c>
      <c r="I88" s="15"/>
      <c r="J88" s="22">
        <v>26</v>
      </c>
      <c r="K88" s="17" t="s">
        <v>47</v>
      </c>
      <c r="L88" s="34"/>
      <c r="M88" s="38"/>
      <c r="N88" s="34"/>
      <c r="O88" s="50"/>
      <c r="Q88" s="22">
        <v>26</v>
      </c>
      <c r="R88" s="17" t="s">
        <v>171</v>
      </c>
      <c r="S88" s="34"/>
      <c r="T88" s="38"/>
      <c r="U88" s="33"/>
      <c r="V88" s="33"/>
    </row>
    <row r="89" spans="2:22" ht="13.5" customHeight="1" thickBot="1">
      <c r="B89" s="18"/>
      <c r="C89" s="32"/>
      <c r="D89" s="32"/>
      <c r="E89" s="32"/>
      <c r="F89" s="32"/>
      <c r="H89" s="15"/>
      <c r="I89" s="32"/>
      <c r="J89" s="18"/>
      <c r="K89" s="32"/>
      <c r="L89" s="32"/>
      <c r="M89" s="32"/>
      <c r="N89" s="32"/>
      <c r="O89" s="32"/>
    </row>
    <row r="90" spans="2:22" ht="13.5" customHeight="1" thickBot="1">
      <c r="B90" s="15" t="s">
        <v>31</v>
      </c>
      <c r="C90" s="23"/>
      <c r="D90" s="141" t="s">
        <v>172</v>
      </c>
      <c r="E90" s="142"/>
      <c r="F90" s="23"/>
      <c r="H90" s="15"/>
      <c r="J90" s="15" t="s">
        <v>31</v>
      </c>
      <c r="K90" s="23"/>
      <c r="L90" s="139" t="s">
        <v>172</v>
      </c>
      <c r="M90" s="138"/>
      <c r="N90" s="23"/>
      <c r="O90" s="23"/>
      <c r="P90" s="8"/>
      <c r="Q90" s="15" t="s">
        <v>31</v>
      </c>
      <c r="R90" s="9"/>
      <c r="S90" s="143" t="s">
        <v>172</v>
      </c>
      <c r="T90" s="144"/>
      <c r="U90" s="9"/>
      <c r="V90" s="9"/>
    </row>
    <row r="91" spans="2:22" ht="13.5" customHeight="1">
      <c r="B91" s="14">
        <v>2</v>
      </c>
      <c r="C91" s="92">
        <v>1141</v>
      </c>
      <c r="D91" s="51"/>
      <c r="E91" s="51"/>
      <c r="F91" s="49"/>
      <c r="H91">
        <f>C91+D73+E74</f>
        <v>8729</v>
      </c>
      <c r="I91" s="15"/>
      <c r="J91" s="14">
        <v>2</v>
      </c>
      <c r="K91" s="1" t="s">
        <v>47</v>
      </c>
      <c r="L91" s="51"/>
      <c r="M91" s="51"/>
      <c r="N91" s="49"/>
      <c r="O91" s="29"/>
      <c r="Q91" s="14">
        <v>2</v>
      </c>
      <c r="R91" s="1" t="s">
        <v>173</v>
      </c>
      <c r="S91" s="51"/>
      <c r="T91" s="51"/>
      <c r="U91" s="49"/>
      <c r="V91" s="29"/>
    </row>
    <row r="92" spans="2:22" ht="13.5" customHeight="1" thickBot="1">
      <c r="B92" s="16">
        <v>4</v>
      </c>
      <c r="C92" s="93">
        <v>1004</v>
      </c>
      <c r="D92" s="49"/>
      <c r="E92" s="49"/>
      <c r="F92" s="49"/>
      <c r="H92">
        <f>C92+D73+E74</f>
        <v>8592</v>
      </c>
      <c r="I92" s="15"/>
      <c r="J92" s="16">
        <v>4</v>
      </c>
      <c r="K92" s="3" t="s">
        <v>47</v>
      </c>
      <c r="L92" s="49"/>
      <c r="M92" s="49"/>
      <c r="N92" s="49"/>
      <c r="O92" s="29"/>
      <c r="Q92" s="16">
        <v>4</v>
      </c>
      <c r="R92" s="3" t="s">
        <v>174</v>
      </c>
      <c r="S92" s="49"/>
      <c r="T92" s="49"/>
      <c r="U92" s="49"/>
      <c r="V92" s="29"/>
    </row>
    <row r="93" spans="2:22" ht="13.5" customHeight="1">
      <c r="B93" s="16">
        <v>6</v>
      </c>
      <c r="C93" s="92">
        <v>997</v>
      </c>
      <c r="D93" s="49"/>
      <c r="E93" s="49"/>
      <c r="F93" s="49"/>
      <c r="H93">
        <f>C93+D76+E74</f>
        <v>8569</v>
      </c>
      <c r="I93" s="15"/>
      <c r="J93" s="16">
        <v>6</v>
      </c>
      <c r="K93" s="1" t="s">
        <v>47</v>
      </c>
      <c r="L93" s="49"/>
      <c r="M93" s="49"/>
      <c r="N93" s="49"/>
      <c r="O93" s="29"/>
      <c r="Q93" s="16">
        <v>6</v>
      </c>
      <c r="R93" s="1" t="s">
        <v>175</v>
      </c>
      <c r="S93" s="49"/>
      <c r="T93" s="49"/>
      <c r="U93" s="49"/>
      <c r="V93" s="29"/>
    </row>
    <row r="94" spans="2:22" ht="13.5" customHeight="1" thickBot="1">
      <c r="B94" s="21">
        <v>8</v>
      </c>
      <c r="C94" s="93">
        <v>1087</v>
      </c>
      <c r="D94" s="49"/>
      <c r="E94" s="49"/>
      <c r="F94" s="49"/>
      <c r="H94">
        <f>C94+D76+E74</f>
        <v>8659</v>
      </c>
      <c r="I94" s="15"/>
      <c r="J94" s="21">
        <v>8</v>
      </c>
      <c r="K94" s="3" t="s">
        <v>47</v>
      </c>
      <c r="L94" s="49"/>
      <c r="M94" s="49"/>
      <c r="N94" s="49"/>
      <c r="O94" s="29"/>
      <c r="Q94" s="21">
        <v>8</v>
      </c>
      <c r="R94" s="3" t="s">
        <v>176</v>
      </c>
      <c r="S94" s="49"/>
      <c r="T94" s="49"/>
      <c r="U94" s="49"/>
      <c r="V94" s="29"/>
    </row>
    <row r="95" spans="2:22" ht="13.5" customHeight="1">
      <c r="B95" s="21">
        <v>10</v>
      </c>
      <c r="C95" s="92">
        <v>1033</v>
      </c>
      <c r="D95" s="39"/>
      <c r="E95" s="39"/>
      <c r="F95" s="39"/>
      <c r="H95">
        <f>C95+D79+E80</f>
        <v>8590</v>
      </c>
      <c r="I95" s="15"/>
      <c r="J95" s="21">
        <v>10</v>
      </c>
      <c r="K95" s="1" t="s">
        <v>47</v>
      </c>
      <c r="L95" s="39"/>
      <c r="M95" s="39"/>
      <c r="N95" s="39"/>
      <c r="O95" s="33"/>
      <c r="Q95" s="21">
        <v>10</v>
      </c>
      <c r="R95" s="1" t="s">
        <v>177</v>
      </c>
      <c r="S95" s="39"/>
      <c r="T95" s="39"/>
      <c r="U95" s="39"/>
      <c r="V95" s="33"/>
    </row>
    <row r="96" spans="2:22" ht="13.5" customHeight="1" thickBot="1">
      <c r="B96" s="21">
        <v>12</v>
      </c>
      <c r="C96" s="93">
        <v>924</v>
      </c>
      <c r="D96" s="39"/>
      <c r="E96" s="39"/>
      <c r="F96" s="39"/>
      <c r="H96">
        <f>C96+D79+E80</f>
        <v>8481</v>
      </c>
      <c r="I96" s="15"/>
      <c r="J96" s="21">
        <v>12</v>
      </c>
      <c r="K96" s="3" t="s">
        <v>47</v>
      </c>
      <c r="L96" s="39"/>
      <c r="M96" s="39"/>
      <c r="N96" s="39"/>
      <c r="O96" s="33"/>
      <c r="Q96" s="21">
        <v>12</v>
      </c>
      <c r="R96" s="3" t="s">
        <v>178</v>
      </c>
      <c r="S96" s="39"/>
      <c r="T96" s="39"/>
      <c r="U96" s="39"/>
      <c r="V96" s="33"/>
    </row>
    <row r="97" spans="1:23" ht="13.5" customHeight="1">
      <c r="B97" s="21">
        <v>14</v>
      </c>
      <c r="C97" s="92">
        <v>844</v>
      </c>
      <c r="D97" s="39"/>
      <c r="E97" s="39"/>
      <c r="F97" s="39"/>
      <c r="H97">
        <f>C97+D82+E80</f>
        <v>8479</v>
      </c>
      <c r="I97" s="15"/>
      <c r="J97" s="21">
        <v>14</v>
      </c>
      <c r="K97" s="1" t="s">
        <v>47</v>
      </c>
      <c r="L97" s="39"/>
      <c r="M97" s="39"/>
      <c r="N97" s="39"/>
      <c r="O97" s="33"/>
      <c r="Q97" s="21">
        <v>14</v>
      </c>
      <c r="R97" s="1" t="s">
        <v>179</v>
      </c>
      <c r="S97" s="39"/>
      <c r="T97" s="39"/>
      <c r="U97" s="39"/>
      <c r="V97" s="33"/>
    </row>
    <row r="98" spans="1:23" ht="13.5" customHeight="1" thickBot="1">
      <c r="B98" s="22">
        <v>16</v>
      </c>
      <c r="C98" s="93">
        <v>900</v>
      </c>
      <c r="D98" s="39"/>
      <c r="E98" s="39"/>
      <c r="F98" s="39"/>
      <c r="H98">
        <f>C98+D82+E80</f>
        <v>8535</v>
      </c>
      <c r="I98" s="15"/>
      <c r="J98" s="22">
        <v>16</v>
      </c>
      <c r="K98" s="3" t="s">
        <v>47</v>
      </c>
      <c r="L98" s="39"/>
      <c r="M98" s="39"/>
      <c r="N98" s="39"/>
      <c r="O98" s="33"/>
      <c r="Q98" s="22">
        <v>16</v>
      </c>
      <c r="R98" s="3" t="s">
        <v>180</v>
      </c>
      <c r="S98" s="39"/>
      <c r="T98" s="39"/>
      <c r="U98" s="39"/>
      <c r="V98" s="33"/>
    </row>
    <row r="100" spans="1:23" s="52" customFormat="1" ht="15" customHeight="1" thickBot="1">
      <c r="A100" s="151" t="s">
        <v>181</v>
      </c>
      <c r="B100" s="152"/>
      <c r="C100" s="153"/>
      <c r="D100" s="154" t="s">
        <v>182</v>
      </c>
      <c r="E100" s="155"/>
      <c r="F100" s="155"/>
      <c r="G100" s="155"/>
      <c r="H100" s="156"/>
      <c r="I100" s="157" t="s">
        <v>183</v>
      </c>
      <c r="J100" s="68" t="s">
        <v>182</v>
      </c>
      <c r="K100" s="66"/>
      <c r="L100" s="70"/>
      <c r="M100" s="66"/>
      <c r="N100" s="66"/>
      <c r="O100" s="67"/>
      <c r="Q100" s="148" t="s">
        <v>182</v>
      </c>
      <c r="R100" s="149"/>
      <c r="S100" s="149"/>
      <c r="T100" s="149"/>
      <c r="U100" s="149"/>
      <c r="V100" s="150"/>
      <c r="W100"/>
    </row>
    <row r="101" spans="1:23" s="52" customFormat="1" ht="15" customHeight="1" thickBot="1">
      <c r="A101" s="53" t="s">
        <v>184</v>
      </c>
      <c r="B101" s="60">
        <v>40</v>
      </c>
      <c r="C101" s="117">
        <f>1750+40</f>
        <v>1790</v>
      </c>
      <c r="D101" s="118">
        <f>1899+40</f>
        <v>1939</v>
      </c>
      <c r="E101" s="118">
        <f>1683+40</f>
        <v>1723</v>
      </c>
      <c r="F101" s="71">
        <v>2400</v>
      </c>
      <c r="G101" s="69">
        <v>1625</v>
      </c>
      <c r="H101">
        <f>C101+D101+E101+F101+G101</f>
        <v>9477</v>
      </c>
      <c r="I101" s="157"/>
      <c r="J101" s="53" t="s">
        <v>184</v>
      </c>
      <c r="K101" s="1" t="s">
        <v>185</v>
      </c>
      <c r="L101" s="1" t="s">
        <v>185</v>
      </c>
      <c r="M101" s="1"/>
      <c r="N101" s="72" t="s">
        <v>186</v>
      </c>
      <c r="O101" s="73" t="s">
        <v>186</v>
      </c>
      <c r="Q101" s="53" t="s">
        <v>184</v>
      </c>
      <c r="R101" s="1" t="s">
        <v>187</v>
      </c>
      <c r="S101" s="1" t="s">
        <v>188</v>
      </c>
      <c r="T101" s="1"/>
      <c r="U101" s="72" t="s">
        <v>189</v>
      </c>
      <c r="V101" s="73" t="s">
        <v>190</v>
      </c>
      <c r="W101"/>
    </row>
    <row r="102" spans="1:23" s="52" customFormat="1" ht="15" customHeight="1" thickBot="1">
      <c r="A102" s="53" t="s">
        <v>191</v>
      </c>
      <c r="B102" s="60">
        <v>40</v>
      </c>
      <c r="C102" s="95">
        <v>1541</v>
      </c>
      <c r="D102" s="61"/>
      <c r="E102" s="61"/>
      <c r="F102" s="54"/>
      <c r="H102">
        <f>C102+D101+E101++F101+G101</f>
        <v>9228</v>
      </c>
      <c r="I102" s="55" t="s">
        <v>192</v>
      </c>
      <c r="J102" s="53" t="s">
        <v>191</v>
      </c>
      <c r="K102" s="3" t="s">
        <v>185</v>
      </c>
      <c r="L102" s="61"/>
      <c r="M102" s="61" t="s">
        <v>193</v>
      </c>
      <c r="N102" s="54"/>
      <c r="O102" s="54"/>
      <c r="Q102" s="53" t="s">
        <v>191</v>
      </c>
      <c r="R102" s="3" t="s">
        <v>194</v>
      </c>
      <c r="S102" s="61"/>
      <c r="T102" s="61" t="s">
        <v>195</v>
      </c>
      <c r="U102" s="54"/>
      <c r="V102" s="54"/>
      <c r="W102"/>
    </row>
    <row r="103" spans="1:23" s="52" customFormat="1" ht="15" customHeight="1">
      <c r="A103" s="53" t="s">
        <v>196</v>
      </c>
      <c r="B103" s="60">
        <v>40</v>
      </c>
      <c r="C103" s="94">
        <v>1617</v>
      </c>
      <c r="D103" s="2">
        <v>1653</v>
      </c>
      <c r="E103" s="61"/>
      <c r="F103" s="54"/>
      <c r="G103" s="54"/>
      <c r="H103">
        <f>C103+D103+E101+F101+G101</f>
        <v>9018</v>
      </c>
      <c r="I103" s="56" t="s">
        <v>197</v>
      </c>
      <c r="J103" s="53" t="s">
        <v>196</v>
      </c>
      <c r="K103" s="1" t="s">
        <v>185</v>
      </c>
      <c r="L103" s="2" t="s">
        <v>185</v>
      </c>
      <c r="M103" s="61"/>
      <c r="N103" s="54"/>
      <c r="O103" s="54"/>
      <c r="Q103" s="53" t="s">
        <v>196</v>
      </c>
      <c r="R103" s="1" t="s">
        <v>198</v>
      </c>
      <c r="S103" s="2" t="s">
        <v>199</v>
      </c>
      <c r="T103" s="61"/>
      <c r="U103" s="54"/>
      <c r="V103" s="54"/>
      <c r="W103"/>
    </row>
    <row r="104" spans="1:23" s="52" customFormat="1" ht="15" customHeight="1" thickBot="1">
      <c r="A104" s="53" t="s">
        <v>200</v>
      </c>
      <c r="B104" s="60">
        <v>40</v>
      </c>
      <c r="C104" s="95">
        <v>1556</v>
      </c>
      <c r="D104" s="64"/>
      <c r="E104" s="62"/>
      <c r="F104" s="54"/>
      <c r="G104" s="54"/>
      <c r="H104">
        <f>C104+D103+E101+F101+G101</f>
        <v>8957</v>
      </c>
      <c r="I104" s="57" t="s">
        <v>201</v>
      </c>
      <c r="J104" s="53" t="s">
        <v>200</v>
      </c>
      <c r="K104" s="3" t="s">
        <v>185</v>
      </c>
      <c r="L104" s="64"/>
      <c r="M104" s="62"/>
      <c r="N104" s="54"/>
      <c r="O104" s="54"/>
      <c r="Q104" s="53" t="s">
        <v>200</v>
      </c>
      <c r="R104" s="3" t="s">
        <v>202</v>
      </c>
      <c r="S104" s="64"/>
      <c r="T104" s="62"/>
      <c r="U104" s="54"/>
      <c r="V104" s="54"/>
      <c r="W104"/>
    </row>
    <row r="105" spans="1:23" s="52" customFormat="1" ht="15" customHeight="1">
      <c r="A105" s="53" t="s">
        <v>203</v>
      </c>
      <c r="B105" s="60">
        <v>40</v>
      </c>
      <c r="C105" s="94">
        <v>1445</v>
      </c>
      <c r="D105" s="1">
        <v>1486</v>
      </c>
      <c r="E105" s="2">
        <v>1847</v>
      </c>
      <c r="F105" s="54"/>
      <c r="G105" s="54"/>
      <c r="H105">
        <f>C105+D105+E105+F101+G101</f>
        <v>8803</v>
      </c>
      <c r="I105" s="58" t="s">
        <v>204</v>
      </c>
      <c r="J105" s="53" t="s">
        <v>203</v>
      </c>
      <c r="K105" s="1" t="s">
        <v>185</v>
      </c>
      <c r="L105" s="1" t="s">
        <v>185</v>
      </c>
      <c r="M105" s="2"/>
      <c r="N105" s="54"/>
      <c r="O105" s="54"/>
      <c r="Q105" s="53" t="s">
        <v>203</v>
      </c>
      <c r="R105" s="1" t="s">
        <v>205</v>
      </c>
      <c r="S105" s="1" t="s">
        <v>206</v>
      </c>
      <c r="T105" s="2"/>
      <c r="U105" s="54"/>
      <c r="V105" s="54"/>
      <c r="W105"/>
    </row>
    <row r="106" spans="1:23" s="52" customFormat="1" ht="15" customHeight="1" thickBot="1">
      <c r="A106" s="53" t="s">
        <v>207</v>
      </c>
      <c r="B106" s="60">
        <v>40</v>
      </c>
      <c r="C106" s="95">
        <v>1370</v>
      </c>
      <c r="D106" s="61"/>
      <c r="E106" s="61"/>
      <c r="F106" s="54"/>
      <c r="G106" s="54"/>
      <c r="H106">
        <f>C106+D105+E105+F101++G101</f>
        <v>8728</v>
      </c>
      <c r="I106" s="59" t="s">
        <v>33</v>
      </c>
      <c r="J106" s="53" t="s">
        <v>207</v>
      </c>
      <c r="K106" s="3" t="s">
        <v>185</v>
      </c>
      <c r="L106" s="61"/>
      <c r="M106" s="61" t="s">
        <v>193</v>
      </c>
      <c r="N106" s="54"/>
      <c r="O106" s="54"/>
      <c r="Q106" s="53" t="s">
        <v>207</v>
      </c>
      <c r="R106" s="3" t="s">
        <v>208</v>
      </c>
      <c r="S106" s="61"/>
      <c r="T106" s="61" t="s">
        <v>209</v>
      </c>
      <c r="U106" s="54"/>
      <c r="V106" s="54"/>
      <c r="W106"/>
    </row>
    <row r="107" spans="1:23" s="52" customFormat="1" ht="15" customHeight="1">
      <c r="A107" s="53" t="s">
        <v>210</v>
      </c>
      <c r="B107" s="60">
        <v>40</v>
      </c>
      <c r="C107" s="94">
        <v>1117</v>
      </c>
      <c r="D107" s="2">
        <v>1736</v>
      </c>
      <c r="E107" s="62"/>
      <c r="F107" s="54"/>
      <c r="G107" s="54"/>
      <c r="H107">
        <f>C107+D107+E105+F101+G101</f>
        <v>8725</v>
      </c>
      <c r="I107" s="65"/>
      <c r="J107" s="53" t="s">
        <v>210</v>
      </c>
      <c r="K107" s="1" t="s">
        <v>185</v>
      </c>
      <c r="L107" s="2" t="s">
        <v>185</v>
      </c>
      <c r="M107" s="62"/>
      <c r="N107" s="54"/>
      <c r="O107" s="54"/>
      <c r="Q107" s="53" t="s">
        <v>210</v>
      </c>
      <c r="R107" s="1" t="s">
        <v>211</v>
      </c>
      <c r="S107" s="2" t="s">
        <v>212</v>
      </c>
      <c r="T107" s="62"/>
      <c r="U107" s="54"/>
      <c r="V107" s="54"/>
      <c r="W107"/>
    </row>
    <row r="108" spans="1:23" s="52" customFormat="1" ht="15" customHeight="1" thickBot="1">
      <c r="A108" s="53" t="s">
        <v>213</v>
      </c>
      <c r="B108" s="60">
        <v>40</v>
      </c>
      <c r="C108" s="95">
        <v>1167</v>
      </c>
      <c r="D108" s="64"/>
      <c r="E108" s="62"/>
      <c r="F108" s="54"/>
      <c r="G108" s="54"/>
      <c r="H108">
        <f>C108+D107+E105+F101+G101</f>
        <v>8775</v>
      </c>
      <c r="I108" s="65"/>
      <c r="J108" s="53" t="s">
        <v>213</v>
      </c>
      <c r="K108" s="3" t="s">
        <v>185</v>
      </c>
      <c r="L108" s="64"/>
      <c r="M108" s="62"/>
      <c r="N108" s="54"/>
      <c r="O108" s="54"/>
      <c r="Q108" s="53" t="s">
        <v>213</v>
      </c>
      <c r="R108" s="3" t="s">
        <v>214</v>
      </c>
      <c r="S108" s="64"/>
      <c r="T108" s="62"/>
      <c r="U108" s="54"/>
      <c r="V108" s="54"/>
      <c r="W108"/>
    </row>
    <row r="109" spans="1:23" s="52" customFormat="1" ht="15" customHeight="1">
      <c r="A109" s="53" t="s">
        <v>215</v>
      </c>
      <c r="B109" s="60">
        <v>40</v>
      </c>
      <c r="C109" s="94">
        <v>943</v>
      </c>
      <c r="D109" s="1">
        <v>989</v>
      </c>
      <c r="E109" s="2">
        <v>2759</v>
      </c>
      <c r="F109" s="54"/>
      <c r="G109" s="54"/>
      <c r="H109">
        <f>C109+D109+E109+F101+G101</f>
        <v>8716</v>
      </c>
      <c r="I109" s="65"/>
      <c r="J109" s="53" t="s">
        <v>215</v>
      </c>
      <c r="K109" s="1" t="s">
        <v>185</v>
      </c>
      <c r="L109" s="1" t="s">
        <v>185</v>
      </c>
      <c r="M109" s="2"/>
      <c r="N109" s="54"/>
      <c r="O109" s="54"/>
      <c r="Q109" s="53" t="s">
        <v>215</v>
      </c>
      <c r="R109" s="1" t="s">
        <v>216</v>
      </c>
      <c r="S109" s="1" t="s">
        <v>217</v>
      </c>
      <c r="T109" s="2"/>
      <c r="U109" s="54"/>
      <c r="V109" s="54"/>
      <c r="W109"/>
    </row>
    <row r="110" spans="1:23" s="52" customFormat="1" ht="15" customHeight="1" thickBot="1">
      <c r="A110" s="53" t="s">
        <v>218</v>
      </c>
      <c r="B110" s="60">
        <v>40</v>
      </c>
      <c r="C110" s="95">
        <v>860</v>
      </c>
      <c r="D110" s="61"/>
      <c r="E110" s="62"/>
      <c r="F110" s="54"/>
      <c r="G110" s="54"/>
      <c r="H110">
        <f>C110+D109+E109+F101+G101</f>
        <v>8633</v>
      </c>
      <c r="I110" s="65"/>
      <c r="J110" s="53" t="s">
        <v>218</v>
      </c>
      <c r="K110" s="3" t="s">
        <v>185</v>
      </c>
      <c r="L110" s="61"/>
      <c r="M110" s="159" t="s">
        <v>193</v>
      </c>
      <c r="N110" s="54"/>
      <c r="O110" s="54"/>
      <c r="Q110" s="53" t="s">
        <v>218</v>
      </c>
      <c r="R110" s="3" t="s">
        <v>219</v>
      </c>
      <c r="S110" s="61"/>
      <c r="T110" s="159" t="s">
        <v>220</v>
      </c>
      <c r="U110" s="54"/>
      <c r="V110" s="54"/>
      <c r="W110"/>
    </row>
    <row r="111" spans="1:23" s="52" customFormat="1" ht="15" customHeight="1">
      <c r="A111" s="53" t="s">
        <v>221</v>
      </c>
      <c r="B111" s="60">
        <v>40</v>
      </c>
      <c r="C111" s="94">
        <v>821</v>
      </c>
      <c r="D111" s="2">
        <v>947</v>
      </c>
      <c r="E111" s="62"/>
      <c r="F111" s="54"/>
      <c r="G111" s="54"/>
      <c r="H111">
        <f>C111+D111+E109+F101+G101</f>
        <v>8552</v>
      </c>
      <c r="I111" s="65"/>
      <c r="J111" s="53" t="s">
        <v>221</v>
      </c>
      <c r="K111" s="1" t="s">
        <v>185</v>
      </c>
      <c r="L111" s="2" t="s">
        <v>185</v>
      </c>
      <c r="M111" s="62"/>
      <c r="N111" s="54"/>
      <c r="O111" s="54"/>
      <c r="Q111" s="53" t="s">
        <v>221</v>
      </c>
      <c r="R111" s="1" t="s">
        <v>222</v>
      </c>
      <c r="S111" s="2" t="s">
        <v>223</v>
      </c>
      <c r="T111" s="62"/>
      <c r="U111" s="54"/>
      <c r="V111" s="54"/>
      <c r="W111"/>
    </row>
    <row r="112" spans="1:23" s="52" customFormat="1" ht="15" customHeight="1">
      <c r="A112" s="53" t="s">
        <v>224</v>
      </c>
      <c r="B112" s="60">
        <v>40</v>
      </c>
      <c r="C112" s="96">
        <f>760+40</f>
        <v>800</v>
      </c>
      <c r="D112" s="62"/>
      <c r="E112" s="62"/>
      <c r="F112" s="54"/>
      <c r="G112" s="54"/>
      <c r="H112">
        <f>C112+D111+E109+F101+G101</f>
        <v>8531</v>
      </c>
      <c r="I112" s="65"/>
      <c r="J112" s="53" t="s">
        <v>224</v>
      </c>
      <c r="K112" s="2" t="s">
        <v>185</v>
      </c>
      <c r="L112" s="62"/>
      <c r="M112" s="62"/>
      <c r="N112" s="54"/>
      <c r="O112" s="54"/>
      <c r="Q112" s="53" t="s">
        <v>224</v>
      </c>
      <c r="R112" s="2" t="s">
        <v>225</v>
      </c>
      <c r="S112" s="62"/>
      <c r="T112" s="62"/>
      <c r="U112" s="54"/>
      <c r="V112" s="54"/>
      <c r="W112"/>
    </row>
    <row r="113" spans="1:23" s="52" customFormat="1" ht="15" customHeight="1" thickBot="1">
      <c r="A113" s="53" t="s">
        <v>226</v>
      </c>
      <c r="B113" s="60">
        <v>40</v>
      </c>
      <c r="C113" s="95">
        <f>765+100</f>
        <v>865</v>
      </c>
      <c r="D113" s="63"/>
      <c r="E113" s="63"/>
      <c r="F113" s="54"/>
      <c r="G113" s="54"/>
      <c r="H113">
        <f>C113+D111+E109+F101+G101</f>
        <v>8596</v>
      </c>
      <c r="I113" s="65"/>
      <c r="J113" s="53" t="s">
        <v>226</v>
      </c>
      <c r="K113" s="3" t="s">
        <v>185</v>
      </c>
      <c r="L113" s="63"/>
      <c r="M113" s="63"/>
      <c r="N113" s="54"/>
      <c r="O113" s="54"/>
      <c r="Q113" s="53" t="s">
        <v>226</v>
      </c>
      <c r="R113" s="3" t="s">
        <v>227</v>
      </c>
      <c r="S113" s="63"/>
      <c r="T113" s="63"/>
      <c r="U113" s="54"/>
      <c r="V113" s="54"/>
      <c r="W113"/>
    </row>
    <row r="124" spans="1:23">
      <c r="B124" t="s">
        <v>170</v>
      </c>
    </row>
    <row r="125" spans="1:23">
      <c r="B125" t="s">
        <v>171</v>
      </c>
    </row>
    <row r="127" spans="1:23">
      <c r="B127" t="s">
        <v>149</v>
      </c>
    </row>
    <row r="128" spans="1:23">
      <c r="B128" t="s">
        <v>154</v>
      </c>
    </row>
    <row r="129" spans="2:2">
      <c r="B129" t="s">
        <v>158</v>
      </c>
    </row>
    <row r="130" spans="2:2">
      <c r="B130" t="s">
        <v>163</v>
      </c>
    </row>
    <row r="131" spans="2:2">
      <c r="B131" t="s">
        <v>166</v>
      </c>
    </row>
    <row r="132" spans="2:2">
      <c r="B132" t="s">
        <v>169</v>
      </c>
    </row>
    <row r="134" spans="2:2">
      <c r="B134" t="s">
        <v>151</v>
      </c>
    </row>
    <row r="135" spans="2:2">
      <c r="B135" t="s">
        <v>160</v>
      </c>
    </row>
    <row r="137" spans="2:2">
      <c r="B137" t="s">
        <v>173</v>
      </c>
    </row>
    <row r="138" spans="2:2">
      <c r="B138" t="s">
        <v>174</v>
      </c>
    </row>
    <row r="139" spans="2:2">
      <c r="B139" t="s">
        <v>175</v>
      </c>
    </row>
    <row r="140" spans="2:2">
      <c r="B140" t="s">
        <v>176</v>
      </c>
    </row>
    <row r="141" spans="2:2">
      <c r="B141" t="s">
        <v>177</v>
      </c>
    </row>
    <row r="142" spans="2:2">
      <c r="B142" t="s">
        <v>178</v>
      </c>
    </row>
    <row r="143" spans="2:2">
      <c r="B143" t="s">
        <v>179</v>
      </c>
    </row>
    <row r="144" spans="2:2">
      <c r="B144" t="s">
        <v>180</v>
      </c>
    </row>
    <row r="146" spans="2:2">
      <c r="B146" t="s">
        <v>228</v>
      </c>
    </row>
    <row r="147" spans="2:2">
      <c r="B147" t="s">
        <v>229</v>
      </c>
    </row>
    <row r="148" spans="2:2">
      <c r="B148" t="s">
        <v>230</v>
      </c>
    </row>
    <row r="149" spans="2:2">
      <c r="B149" t="s">
        <v>231</v>
      </c>
    </row>
    <row r="150" spans="2:2">
      <c r="B150" t="s">
        <v>232</v>
      </c>
    </row>
    <row r="151" spans="2:2">
      <c r="B151" t="s">
        <v>233</v>
      </c>
    </row>
    <row r="152" spans="2:2">
      <c r="B152" t="s">
        <v>234</v>
      </c>
    </row>
    <row r="153" spans="2:2">
      <c r="B153" t="s">
        <v>235</v>
      </c>
    </row>
    <row r="154" spans="2:2">
      <c r="B154" t="s">
        <v>236</v>
      </c>
    </row>
    <row r="155" spans="2:2">
      <c r="B155" t="s">
        <v>237</v>
      </c>
    </row>
    <row r="156" spans="2:2">
      <c r="B156" t="s">
        <v>238</v>
      </c>
    </row>
    <row r="157" spans="2:2">
      <c r="B157" t="s">
        <v>239</v>
      </c>
    </row>
    <row r="158" spans="2:2">
      <c r="B158" t="s">
        <v>240</v>
      </c>
    </row>
    <row r="160" spans="2:2">
      <c r="B160" t="s">
        <v>188</v>
      </c>
    </row>
    <row r="161" spans="2:2">
      <c r="B161" t="s">
        <v>199</v>
      </c>
    </row>
    <row r="162" spans="2:2">
      <c r="B162" t="s">
        <v>206</v>
      </c>
    </row>
    <row r="163" spans="2:2">
      <c r="B163" t="s">
        <v>212</v>
      </c>
    </row>
    <row r="164" spans="2:2">
      <c r="B164" t="s">
        <v>217</v>
      </c>
    </row>
    <row r="165" spans="2:2">
      <c r="B165" t="s">
        <v>223</v>
      </c>
    </row>
    <row r="167" spans="2:2">
      <c r="B167" t="s">
        <v>195</v>
      </c>
    </row>
    <row r="168" spans="2:2">
      <c r="B168" t="s">
        <v>209</v>
      </c>
    </row>
    <row r="169" spans="2:2">
      <c r="B169" t="s">
        <v>220</v>
      </c>
    </row>
    <row r="171" spans="2:2">
      <c r="B171" t="s">
        <v>241</v>
      </c>
    </row>
    <row r="172" spans="2:2">
      <c r="B172" t="s">
        <v>242</v>
      </c>
    </row>
    <row r="174" spans="2:2">
      <c r="B174" t="s">
        <v>243</v>
      </c>
    </row>
    <row r="175" spans="2:2">
      <c r="B175" t="s">
        <v>244</v>
      </c>
    </row>
    <row r="176" spans="2:2">
      <c r="B176" t="s">
        <v>245</v>
      </c>
    </row>
    <row r="177" spans="2:2">
      <c r="B177" t="s">
        <v>246</v>
      </c>
    </row>
    <row r="178" spans="2:2">
      <c r="B178" t="s">
        <v>247</v>
      </c>
    </row>
    <row r="182" spans="2:2">
      <c r="B182" t="s">
        <v>248</v>
      </c>
    </row>
    <row r="183" spans="2:2">
      <c r="B183" t="s">
        <v>249</v>
      </c>
    </row>
    <row r="184" spans="2:2">
      <c r="B184" t="s">
        <v>250</v>
      </c>
    </row>
    <row r="186" spans="2:2">
      <c r="B186" t="s">
        <v>251</v>
      </c>
    </row>
    <row r="188" spans="2:2">
      <c r="B188" t="s">
        <v>35</v>
      </c>
    </row>
    <row r="189" spans="2:2">
      <c r="B189" t="s">
        <v>38</v>
      </c>
    </row>
    <row r="190" spans="2:2">
      <c r="B190" t="s">
        <v>41</v>
      </c>
    </row>
    <row r="191" spans="2:2">
      <c r="B191" t="s">
        <v>43</v>
      </c>
    </row>
    <row r="192" spans="2:2">
      <c r="B192" t="s">
        <v>44</v>
      </c>
    </row>
    <row r="193" spans="2:2">
      <c r="B193" t="s">
        <v>46</v>
      </c>
    </row>
    <row r="194" spans="2:2">
      <c r="B194" t="s">
        <v>48</v>
      </c>
    </row>
    <row r="195" spans="2:2">
      <c r="B195" t="s">
        <v>50</v>
      </c>
    </row>
    <row r="196" spans="2:2">
      <c r="B196" t="s">
        <v>53</v>
      </c>
    </row>
    <row r="197" spans="2:2">
      <c r="B197" t="s">
        <v>55</v>
      </c>
    </row>
    <row r="198" spans="2:2">
      <c r="B198" t="s">
        <v>56</v>
      </c>
    </row>
    <row r="199" spans="2:2">
      <c r="B199" t="s">
        <v>58</v>
      </c>
    </row>
    <row r="200" spans="2:2">
      <c r="B200" t="s">
        <v>60</v>
      </c>
    </row>
    <row r="201" spans="2:2">
      <c r="B201" t="s">
        <v>61</v>
      </c>
    </row>
    <row r="202" spans="2:2">
      <c r="B202" t="s">
        <v>64</v>
      </c>
    </row>
    <row r="203" spans="2:2">
      <c r="B203" t="s">
        <v>66</v>
      </c>
    </row>
    <row r="204" spans="2:2">
      <c r="B204" t="s">
        <v>68</v>
      </c>
    </row>
    <row r="205" spans="2:2">
      <c r="B205" t="s">
        <v>70</v>
      </c>
    </row>
    <row r="206" spans="2:2">
      <c r="B206" t="s">
        <v>72</v>
      </c>
    </row>
    <row r="207" spans="2:2">
      <c r="B207" t="s">
        <v>74</v>
      </c>
    </row>
    <row r="209" spans="2:2">
      <c r="B209" t="s">
        <v>252</v>
      </c>
    </row>
    <row r="210" spans="2:2">
      <c r="B210" t="s">
        <v>76</v>
      </c>
    </row>
    <row r="211" spans="2:2">
      <c r="B211" t="s">
        <v>253</v>
      </c>
    </row>
    <row r="212" spans="2:2">
      <c r="B212" t="s">
        <v>254</v>
      </c>
    </row>
    <row r="213" spans="2:2">
      <c r="B213" t="s">
        <v>78</v>
      </c>
    </row>
    <row r="214" spans="2:2">
      <c r="B214" t="s">
        <v>255</v>
      </c>
    </row>
    <row r="215" spans="2:2">
      <c r="B215" t="s">
        <v>256</v>
      </c>
    </row>
    <row r="216" spans="2:2">
      <c r="B216" t="s">
        <v>81</v>
      </c>
    </row>
    <row r="217" spans="2:2">
      <c r="B217" t="s">
        <v>257</v>
      </c>
    </row>
    <row r="218" spans="2:2">
      <c r="B218" t="s">
        <v>258</v>
      </c>
    </row>
    <row r="219" spans="2:2">
      <c r="B219" t="s">
        <v>83</v>
      </c>
    </row>
    <row r="220" spans="2:2">
      <c r="B220" t="s">
        <v>259</v>
      </c>
    </row>
    <row r="221" spans="2:2">
      <c r="B221" t="s">
        <v>84</v>
      </c>
    </row>
    <row r="222" spans="2:2">
      <c r="B222" t="s">
        <v>86</v>
      </c>
    </row>
    <row r="223" spans="2:2">
      <c r="B223" t="s">
        <v>87</v>
      </c>
    </row>
    <row r="224" spans="2:2">
      <c r="B224" t="s">
        <v>88</v>
      </c>
    </row>
    <row r="225" spans="2:2">
      <c r="B225" t="s">
        <v>90</v>
      </c>
    </row>
    <row r="226" spans="2:2">
      <c r="B226" t="s">
        <v>92</v>
      </c>
    </row>
    <row r="227" spans="2:2">
      <c r="B227" t="s">
        <v>93</v>
      </c>
    </row>
    <row r="228" spans="2:2">
      <c r="B228" t="s">
        <v>95</v>
      </c>
    </row>
    <row r="230" spans="2:2">
      <c r="B230" t="s">
        <v>260</v>
      </c>
    </row>
    <row r="231" spans="2:2">
      <c r="B231" t="s">
        <v>110</v>
      </c>
    </row>
    <row r="232" spans="2:2">
      <c r="B232" t="s">
        <v>261</v>
      </c>
    </row>
    <row r="233" spans="2:2">
      <c r="B233" t="s">
        <v>262</v>
      </c>
    </row>
    <row r="234" spans="2:2">
      <c r="B234" t="s">
        <v>112</v>
      </c>
    </row>
    <row r="235" spans="2:2">
      <c r="B235" t="s">
        <v>263</v>
      </c>
    </row>
    <row r="236" spans="2:2">
      <c r="B236" t="s">
        <v>115</v>
      </c>
    </row>
    <row r="237" spans="2:2">
      <c r="B237" t="s">
        <v>117</v>
      </c>
    </row>
    <row r="238" spans="2:2">
      <c r="B238" t="s">
        <v>118</v>
      </c>
    </row>
    <row r="239" spans="2:2">
      <c r="B239" t="s">
        <v>120</v>
      </c>
    </row>
    <row r="240" spans="2:2">
      <c r="B240" t="s">
        <v>121</v>
      </c>
    </row>
    <row r="241" spans="2:2">
      <c r="B241" t="s">
        <v>122</v>
      </c>
    </row>
    <row r="242" spans="2:2">
      <c r="B242" t="s">
        <v>125</v>
      </c>
    </row>
    <row r="243" spans="2:2">
      <c r="B243" t="s">
        <v>127</v>
      </c>
    </row>
    <row r="244" spans="2:2">
      <c r="B244" t="s">
        <v>129</v>
      </c>
    </row>
    <row r="245" spans="2:2">
      <c r="B245" t="s">
        <v>131</v>
      </c>
    </row>
    <row r="246" spans="2:2">
      <c r="B246" t="s">
        <v>132</v>
      </c>
    </row>
    <row r="247" spans="2:2">
      <c r="B247" t="s">
        <v>133</v>
      </c>
    </row>
    <row r="248" spans="2:2">
      <c r="B248" t="s">
        <v>135</v>
      </c>
    </row>
    <row r="249" spans="2:2">
      <c r="B249" t="s">
        <v>137</v>
      </c>
    </row>
    <row r="251" spans="2:2">
      <c r="B251" t="s">
        <v>147</v>
      </c>
    </row>
    <row r="252" spans="2:2">
      <c r="B252" t="s">
        <v>148</v>
      </c>
    </row>
    <row r="253" spans="2:2">
      <c r="B253" t="s">
        <v>150</v>
      </c>
    </row>
    <row r="254" spans="2:2">
      <c r="B254" t="s">
        <v>152</v>
      </c>
    </row>
    <row r="255" spans="2:2">
      <c r="B255" t="s">
        <v>153</v>
      </c>
    </row>
    <row r="256" spans="2:2">
      <c r="B256" t="s">
        <v>155</v>
      </c>
    </row>
    <row r="257" spans="2:2">
      <c r="B257" t="s">
        <v>156</v>
      </c>
    </row>
    <row r="258" spans="2:2">
      <c r="B258" t="s">
        <v>157</v>
      </c>
    </row>
    <row r="259" spans="2:2">
      <c r="B259" t="s">
        <v>159</v>
      </c>
    </row>
    <row r="260" spans="2:2">
      <c r="B260" t="s">
        <v>161</v>
      </c>
    </row>
    <row r="261" spans="2:2">
      <c r="B261" t="s">
        <v>162</v>
      </c>
    </row>
    <row r="262" spans="2:2">
      <c r="B262" t="s">
        <v>164</v>
      </c>
    </row>
    <row r="263" spans="2:2">
      <c r="B263" t="s">
        <v>165</v>
      </c>
    </row>
    <row r="264" spans="2:2">
      <c r="B264" t="s">
        <v>167</v>
      </c>
    </row>
    <row r="265" spans="2:2">
      <c r="B265" t="s">
        <v>168</v>
      </c>
    </row>
    <row r="266" spans="2:2">
      <c r="B266" t="s">
        <v>170</v>
      </c>
    </row>
    <row r="267" spans="2:2">
      <c r="B267" t="s">
        <v>171</v>
      </c>
    </row>
    <row r="269" spans="2:2">
      <c r="B269" t="s">
        <v>173</v>
      </c>
    </row>
    <row r="270" spans="2:2">
      <c r="B270" t="s">
        <v>174</v>
      </c>
    </row>
    <row r="271" spans="2:2">
      <c r="B271" t="s">
        <v>175</v>
      </c>
    </row>
    <row r="272" spans="2:2">
      <c r="B272" t="s">
        <v>176</v>
      </c>
    </row>
    <row r="273" spans="2:2">
      <c r="B273" t="s">
        <v>177</v>
      </c>
    </row>
    <row r="274" spans="2:2">
      <c r="B274" t="s">
        <v>178</v>
      </c>
    </row>
    <row r="275" spans="2:2">
      <c r="B275" t="s">
        <v>179</v>
      </c>
    </row>
    <row r="276" spans="2:2">
      <c r="B276" t="s">
        <v>180</v>
      </c>
    </row>
    <row r="278" spans="2:2">
      <c r="B278" t="s">
        <v>228</v>
      </c>
    </row>
    <row r="279" spans="2:2">
      <c r="B279" t="s">
        <v>229</v>
      </c>
    </row>
    <row r="280" spans="2:2">
      <c r="B280" t="s">
        <v>230</v>
      </c>
    </row>
    <row r="281" spans="2:2">
      <c r="B281" t="s">
        <v>231</v>
      </c>
    </row>
    <row r="282" spans="2:2">
      <c r="B282" t="s">
        <v>232</v>
      </c>
    </row>
    <row r="283" spans="2:2">
      <c r="B283" t="s">
        <v>233</v>
      </c>
    </row>
    <row r="284" spans="2:2">
      <c r="B284" t="s">
        <v>234</v>
      </c>
    </row>
    <row r="285" spans="2:2">
      <c r="B285" t="s">
        <v>235</v>
      </c>
    </row>
    <row r="286" spans="2:2">
      <c r="B286" t="s">
        <v>236</v>
      </c>
    </row>
    <row r="287" spans="2:2">
      <c r="B287" t="s">
        <v>237</v>
      </c>
    </row>
    <row r="288" spans="2:2">
      <c r="B288" t="s">
        <v>238</v>
      </c>
    </row>
    <row r="289" spans="2:2">
      <c r="B289" t="s">
        <v>239</v>
      </c>
    </row>
    <row r="290" spans="2:2">
      <c r="B290" t="s">
        <v>240</v>
      </c>
    </row>
    <row r="294" spans="2:2">
      <c r="B294" t="s">
        <v>264</v>
      </c>
    </row>
    <row r="296" spans="2:2">
      <c r="B296" t="s">
        <v>265</v>
      </c>
    </row>
    <row r="298" spans="2:2">
      <c r="B298">
        <v>1</v>
      </c>
    </row>
    <row r="299" spans="2:2">
      <c r="B299">
        <v>2</v>
      </c>
    </row>
    <row r="300" spans="2:2">
      <c r="B300">
        <v>3</v>
      </c>
    </row>
    <row r="301" spans="2:2">
      <c r="B301">
        <v>4</v>
      </c>
    </row>
    <row r="302" spans="2:2">
      <c r="B302">
        <v>5</v>
      </c>
    </row>
    <row r="303" spans="2:2">
      <c r="B303">
        <v>6</v>
      </c>
    </row>
    <row r="304" spans="2:2">
      <c r="B304">
        <v>7</v>
      </c>
    </row>
    <row r="305" spans="2:2">
      <c r="B305">
        <v>8</v>
      </c>
    </row>
    <row r="306" spans="2:2">
      <c r="B306">
        <v>9</v>
      </c>
    </row>
    <row r="307" spans="2:2">
      <c r="B307">
        <v>10</v>
      </c>
    </row>
    <row r="308" spans="2:2">
      <c r="B308">
        <v>11</v>
      </c>
    </row>
    <row r="309" spans="2:2">
      <c r="B309">
        <v>12</v>
      </c>
    </row>
    <row r="310" spans="2:2">
      <c r="B310">
        <v>13</v>
      </c>
    </row>
    <row r="311" spans="2:2">
      <c r="B311">
        <v>14</v>
      </c>
    </row>
    <row r="312" spans="2:2">
      <c r="B312">
        <v>15</v>
      </c>
    </row>
    <row r="313" spans="2:2">
      <c r="B313">
        <v>16</v>
      </c>
    </row>
    <row r="314" spans="2:2">
      <c r="B314">
        <v>17</v>
      </c>
    </row>
    <row r="315" spans="2:2">
      <c r="B315">
        <v>18</v>
      </c>
    </row>
    <row r="316" spans="2:2">
      <c r="B316">
        <v>19</v>
      </c>
    </row>
    <row r="317" spans="2:2">
      <c r="B317">
        <v>20</v>
      </c>
    </row>
    <row r="318" spans="2:2">
      <c r="B318">
        <v>21</v>
      </c>
    </row>
    <row r="319" spans="2:2">
      <c r="B319">
        <v>22</v>
      </c>
    </row>
    <row r="320" spans="2:2">
      <c r="B320">
        <v>23</v>
      </c>
    </row>
    <row r="321" spans="2:2">
      <c r="B321">
        <v>24</v>
      </c>
    </row>
    <row r="322" spans="2:2">
      <c r="B322">
        <v>25</v>
      </c>
    </row>
    <row r="323" spans="2:2">
      <c r="B323">
        <v>26</v>
      </c>
    </row>
    <row r="324" spans="2:2">
      <c r="B324" t="s">
        <v>266</v>
      </c>
    </row>
    <row r="326" spans="2:2">
      <c r="B326" t="s">
        <v>267</v>
      </c>
    </row>
    <row r="328" spans="2:2">
      <c r="B328">
        <v>1</v>
      </c>
    </row>
    <row r="329" spans="2:2">
      <c r="B329">
        <v>2</v>
      </c>
    </row>
    <row r="330" spans="2:2">
      <c r="B330">
        <v>3</v>
      </c>
    </row>
    <row r="331" spans="2:2">
      <c r="B331">
        <v>4</v>
      </c>
    </row>
    <row r="332" spans="2:2">
      <c r="B332">
        <v>5</v>
      </c>
    </row>
    <row r="333" spans="2:2">
      <c r="B333">
        <v>6</v>
      </c>
    </row>
    <row r="334" spans="2:2">
      <c r="B334">
        <v>7</v>
      </c>
    </row>
    <row r="335" spans="2:2">
      <c r="B335">
        <v>8</v>
      </c>
    </row>
    <row r="336" spans="2:2">
      <c r="B336">
        <v>9</v>
      </c>
    </row>
    <row r="337" spans="2:2">
      <c r="B337">
        <v>10</v>
      </c>
    </row>
    <row r="338" spans="2:2">
      <c r="B338">
        <v>11</v>
      </c>
    </row>
    <row r="339" spans="2:2">
      <c r="B339">
        <v>12</v>
      </c>
    </row>
    <row r="340" spans="2:2">
      <c r="B340">
        <v>13</v>
      </c>
    </row>
    <row r="341" spans="2:2">
      <c r="B341">
        <v>14</v>
      </c>
    </row>
    <row r="342" spans="2:2">
      <c r="B342">
        <v>15</v>
      </c>
    </row>
    <row r="343" spans="2:2">
      <c r="B343">
        <v>16</v>
      </c>
    </row>
    <row r="344" spans="2:2">
      <c r="B344">
        <v>17</v>
      </c>
    </row>
    <row r="345" spans="2:2">
      <c r="B345">
        <v>18</v>
      </c>
    </row>
    <row r="346" spans="2:2">
      <c r="B346">
        <v>19</v>
      </c>
    </row>
    <row r="347" spans="2:2">
      <c r="B347">
        <v>20</v>
      </c>
    </row>
    <row r="348" spans="2:2">
      <c r="B348">
        <v>21</v>
      </c>
    </row>
    <row r="349" spans="2:2">
      <c r="B349">
        <v>22</v>
      </c>
    </row>
    <row r="350" spans="2:2">
      <c r="B350">
        <v>23</v>
      </c>
    </row>
    <row r="351" spans="2:2">
      <c r="B351">
        <v>24</v>
      </c>
    </row>
    <row r="352" spans="2:2">
      <c r="B352">
        <v>25</v>
      </c>
    </row>
    <row r="353" spans="2:2">
      <c r="B353">
        <v>26</v>
      </c>
    </row>
    <row r="354" spans="2:2">
      <c r="B354" t="s">
        <v>266</v>
      </c>
    </row>
    <row r="356" spans="2:2">
      <c r="B356" t="s">
        <v>268</v>
      </c>
    </row>
    <row r="357" spans="2:2">
      <c r="B357">
        <v>1</v>
      </c>
    </row>
    <row r="358" spans="2:2">
      <c r="B358">
        <v>2</v>
      </c>
    </row>
    <row r="359" spans="2:2">
      <c r="B359">
        <v>3</v>
      </c>
    </row>
    <row r="360" spans="2:2">
      <c r="B360">
        <v>4</v>
      </c>
    </row>
    <row r="361" spans="2:2">
      <c r="B361">
        <v>5</v>
      </c>
    </row>
    <row r="362" spans="2:2">
      <c r="B362">
        <v>6</v>
      </c>
    </row>
    <row r="363" spans="2:2">
      <c r="B363">
        <v>7</v>
      </c>
    </row>
    <row r="364" spans="2:2">
      <c r="B364">
        <v>8</v>
      </c>
    </row>
    <row r="365" spans="2:2">
      <c r="B365">
        <v>9</v>
      </c>
    </row>
    <row r="366" spans="2:2">
      <c r="B366">
        <v>10</v>
      </c>
    </row>
    <row r="367" spans="2:2">
      <c r="B367">
        <v>11</v>
      </c>
    </row>
    <row r="368" spans="2:2">
      <c r="B368">
        <v>12</v>
      </c>
    </row>
    <row r="369" spans="2:2">
      <c r="B369">
        <v>13</v>
      </c>
    </row>
    <row r="370" spans="2:2">
      <c r="B370">
        <v>14</v>
      </c>
    </row>
    <row r="371" spans="2:2">
      <c r="B371">
        <v>15</v>
      </c>
    </row>
    <row r="372" spans="2:2">
      <c r="B372">
        <v>16</v>
      </c>
    </row>
    <row r="373" spans="2:2">
      <c r="B373">
        <v>17</v>
      </c>
    </row>
    <row r="374" spans="2:2">
      <c r="B374">
        <v>18</v>
      </c>
    </row>
    <row r="375" spans="2:2">
      <c r="B375">
        <v>19</v>
      </c>
    </row>
    <row r="376" spans="2:2">
      <c r="B376">
        <v>20</v>
      </c>
    </row>
    <row r="377" spans="2:2">
      <c r="B377">
        <v>21</v>
      </c>
    </row>
    <row r="378" spans="2:2">
      <c r="B378">
        <v>22</v>
      </c>
    </row>
    <row r="379" spans="2:2">
      <c r="B379">
        <v>23</v>
      </c>
    </row>
    <row r="380" spans="2:2">
      <c r="B380">
        <v>24</v>
      </c>
    </row>
    <row r="381" spans="2:2">
      <c r="B381">
        <v>25</v>
      </c>
    </row>
    <row r="382" spans="2:2">
      <c r="B382">
        <v>26</v>
      </c>
    </row>
    <row r="383" spans="2:2">
      <c r="B383" t="s">
        <v>266</v>
      </c>
    </row>
    <row r="385" spans="2:2">
      <c r="B385" t="s">
        <v>269</v>
      </c>
    </row>
    <row r="386" spans="2:2">
      <c r="B386">
        <v>1</v>
      </c>
    </row>
    <row r="387" spans="2:2">
      <c r="B387">
        <v>2</v>
      </c>
    </row>
    <row r="388" spans="2:2">
      <c r="B388">
        <v>3</v>
      </c>
    </row>
    <row r="389" spans="2:2">
      <c r="B389">
        <v>4</v>
      </c>
    </row>
    <row r="390" spans="2:2">
      <c r="B390">
        <v>5</v>
      </c>
    </row>
    <row r="391" spans="2:2">
      <c r="B391">
        <v>6</v>
      </c>
    </row>
    <row r="392" spans="2:2">
      <c r="B392">
        <v>7</v>
      </c>
    </row>
    <row r="393" spans="2:2">
      <c r="B393">
        <v>8</v>
      </c>
    </row>
    <row r="394" spans="2:2">
      <c r="B394">
        <v>9</v>
      </c>
    </row>
    <row r="395" spans="2:2">
      <c r="B395">
        <v>10</v>
      </c>
    </row>
    <row r="396" spans="2:2">
      <c r="B396">
        <v>11</v>
      </c>
    </row>
    <row r="397" spans="2:2">
      <c r="B397">
        <v>12</v>
      </c>
    </row>
    <row r="398" spans="2:2">
      <c r="B398">
        <v>13</v>
      </c>
    </row>
    <row r="399" spans="2:2">
      <c r="B399">
        <v>14</v>
      </c>
    </row>
    <row r="400" spans="2:2">
      <c r="B400">
        <v>15</v>
      </c>
    </row>
    <row r="401" spans="2:2">
      <c r="B401">
        <v>16</v>
      </c>
    </row>
    <row r="402" spans="2:2">
      <c r="B402">
        <v>17</v>
      </c>
    </row>
    <row r="403" spans="2:2">
      <c r="B403">
        <v>18</v>
      </c>
    </row>
    <row r="404" spans="2:2">
      <c r="B404">
        <v>19</v>
      </c>
    </row>
    <row r="405" spans="2:2">
      <c r="B405">
        <v>20</v>
      </c>
    </row>
    <row r="406" spans="2:2">
      <c r="B406">
        <v>21</v>
      </c>
    </row>
    <row r="407" spans="2:2">
      <c r="B407">
        <v>22</v>
      </c>
    </row>
    <row r="408" spans="2:2">
      <c r="B408">
        <v>23</v>
      </c>
    </row>
    <row r="409" spans="2:2">
      <c r="B409">
        <v>24</v>
      </c>
    </row>
    <row r="410" spans="2:2">
      <c r="B410">
        <v>25</v>
      </c>
    </row>
    <row r="411" spans="2:2">
      <c r="B411">
        <v>26</v>
      </c>
    </row>
    <row r="412" spans="2:2">
      <c r="B412" t="s">
        <v>266</v>
      </c>
    </row>
    <row r="414" spans="2:2">
      <c r="B414" t="s">
        <v>270</v>
      </c>
    </row>
    <row r="415" spans="2:2">
      <c r="B415" t="s">
        <v>271</v>
      </c>
    </row>
    <row r="417" spans="2:2">
      <c r="B417">
        <v>1</v>
      </c>
    </row>
    <row r="418" spans="2:2">
      <c r="B418">
        <v>2</v>
      </c>
    </row>
    <row r="419" spans="2:2">
      <c r="B419">
        <v>3</v>
      </c>
    </row>
    <row r="420" spans="2:2">
      <c r="B420">
        <v>4</v>
      </c>
    </row>
    <row r="421" spans="2:2">
      <c r="B421">
        <v>5</v>
      </c>
    </row>
    <row r="422" spans="2:2">
      <c r="B422">
        <v>6</v>
      </c>
    </row>
    <row r="423" spans="2:2">
      <c r="B423">
        <v>7</v>
      </c>
    </row>
    <row r="424" spans="2:2">
      <c r="B424">
        <v>8</v>
      </c>
    </row>
    <row r="425" spans="2:2">
      <c r="B425">
        <v>9</v>
      </c>
    </row>
    <row r="426" spans="2:2">
      <c r="B426">
        <v>10</v>
      </c>
    </row>
    <row r="427" spans="2:2">
      <c r="B427">
        <v>11</v>
      </c>
    </row>
    <row r="428" spans="2:2">
      <c r="B428">
        <v>12</v>
      </c>
    </row>
    <row r="429" spans="2:2">
      <c r="B429">
        <v>13</v>
      </c>
    </row>
    <row r="430" spans="2:2">
      <c r="B430">
        <v>14</v>
      </c>
    </row>
    <row r="431" spans="2:2">
      <c r="B431">
        <v>15</v>
      </c>
    </row>
    <row r="432" spans="2:2">
      <c r="B432">
        <v>16</v>
      </c>
    </row>
    <row r="433" spans="2:2">
      <c r="B433">
        <v>17</v>
      </c>
    </row>
    <row r="434" spans="2:2">
      <c r="B434">
        <v>18</v>
      </c>
    </row>
    <row r="435" spans="2:2">
      <c r="B435">
        <v>19</v>
      </c>
    </row>
    <row r="436" spans="2:2">
      <c r="B436">
        <v>20</v>
      </c>
    </row>
    <row r="437" spans="2:2">
      <c r="B437">
        <v>21</v>
      </c>
    </row>
    <row r="438" spans="2:2">
      <c r="B438">
        <v>22</v>
      </c>
    </row>
    <row r="439" spans="2:2">
      <c r="B439">
        <v>23</v>
      </c>
    </row>
    <row r="440" spans="2:2">
      <c r="B440">
        <v>24</v>
      </c>
    </row>
    <row r="441" spans="2:2">
      <c r="B441">
        <v>25</v>
      </c>
    </row>
    <row r="442" spans="2:2">
      <c r="B442">
        <v>26</v>
      </c>
    </row>
    <row r="443" spans="2:2">
      <c r="B443">
        <v>27</v>
      </c>
    </row>
    <row r="446" spans="2:2">
      <c r="B446" t="s">
        <v>272</v>
      </c>
    </row>
    <row r="447" spans="2:2">
      <c r="B447" t="s">
        <v>273</v>
      </c>
    </row>
    <row r="448" spans="2:2">
      <c r="B448">
        <v>1</v>
      </c>
    </row>
    <row r="449" spans="2:2">
      <c r="B449">
        <v>2</v>
      </c>
    </row>
    <row r="450" spans="2:2">
      <c r="B450">
        <v>3</v>
      </c>
    </row>
    <row r="451" spans="2:2">
      <c r="B451">
        <v>4</v>
      </c>
    </row>
    <row r="452" spans="2:2">
      <c r="B452">
        <v>5</v>
      </c>
    </row>
    <row r="453" spans="2:2">
      <c r="B453">
        <v>6</v>
      </c>
    </row>
    <row r="454" spans="2:2">
      <c r="B454">
        <v>7</v>
      </c>
    </row>
    <row r="455" spans="2:2">
      <c r="B455">
        <v>8</v>
      </c>
    </row>
    <row r="456" spans="2:2">
      <c r="B456">
        <v>9</v>
      </c>
    </row>
    <row r="457" spans="2:2">
      <c r="B457">
        <v>10</v>
      </c>
    </row>
    <row r="458" spans="2:2">
      <c r="B458">
        <v>11</v>
      </c>
    </row>
    <row r="459" spans="2:2">
      <c r="B459">
        <v>12</v>
      </c>
    </row>
    <row r="460" spans="2:2">
      <c r="B460">
        <v>13</v>
      </c>
    </row>
    <row r="461" spans="2:2">
      <c r="B461">
        <v>14</v>
      </c>
    </row>
    <row r="462" spans="2:2">
      <c r="B462">
        <v>15</v>
      </c>
    </row>
    <row r="463" spans="2:2">
      <c r="B463">
        <v>16</v>
      </c>
    </row>
    <row r="464" spans="2:2">
      <c r="B464">
        <v>17</v>
      </c>
    </row>
    <row r="465" spans="2:2">
      <c r="B465">
        <v>18</v>
      </c>
    </row>
    <row r="466" spans="2:2">
      <c r="B466">
        <v>19</v>
      </c>
    </row>
    <row r="467" spans="2:2">
      <c r="B467">
        <v>20</v>
      </c>
    </row>
    <row r="468" spans="2:2">
      <c r="B468">
        <v>21</v>
      </c>
    </row>
    <row r="469" spans="2:2">
      <c r="B469">
        <v>22</v>
      </c>
    </row>
    <row r="470" spans="2:2">
      <c r="B470">
        <v>23</v>
      </c>
    </row>
    <row r="471" spans="2:2">
      <c r="B471">
        <v>24</v>
      </c>
    </row>
    <row r="472" spans="2:2">
      <c r="B472">
        <v>25</v>
      </c>
    </row>
    <row r="473" spans="2:2">
      <c r="B473">
        <v>26</v>
      </c>
    </row>
    <row r="474" spans="2:2">
      <c r="B474">
        <v>27</v>
      </c>
    </row>
    <row r="477" spans="2:2">
      <c r="B477" t="s">
        <v>274</v>
      </c>
    </row>
    <row r="478" spans="2:2">
      <c r="B478" t="s">
        <v>275</v>
      </c>
    </row>
    <row r="479" spans="2:2">
      <c r="B479">
        <v>26</v>
      </c>
    </row>
    <row r="480" spans="2:2">
      <c r="B480">
        <v>25</v>
      </c>
    </row>
    <row r="481" spans="2:2">
      <c r="B481">
        <v>24</v>
      </c>
    </row>
    <row r="482" spans="2:2">
      <c r="B482">
        <v>23</v>
      </c>
    </row>
    <row r="483" spans="2:2">
      <c r="B483">
        <v>22</v>
      </c>
    </row>
    <row r="484" spans="2:2">
      <c r="B484">
        <v>21</v>
      </c>
    </row>
    <row r="485" spans="2:2">
      <c r="B485">
        <v>20</v>
      </c>
    </row>
    <row r="486" spans="2:2">
      <c r="B486">
        <v>19</v>
      </c>
    </row>
    <row r="487" spans="2:2">
      <c r="B487">
        <v>18</v>
      </c>
    </row>
    <row r="488" spans="2:2">
      <c r="B488">
        <v>17</v>
      </c>
    </row>
    <row r="489" spans="2:2">
      <c r="B489">
        <v>16</v>
      </c>
    </row>
    <row r="490" spans="2:2">
      <c r="B490">
        <v>15</v>
      </c>
    </row>
    <row r="491" spans="2:2">
      <c r="B491">
        <v>14</v>
      </c>
    </row>
    <row r="492" spans="2:2">
      <c r="B492">
        <v>13</v>
      </c>
    </row>
    <row r="493" spans="2:2">
      <c r="B493">
        <v>12</v>
      </c>
    </row>
    <row r="494" spans="2:2">
      <c r="B494">
        <v>11</v>
      </c>
    </row>
    <row r="495" spans="2:2">
      <c r="B495">
        <v>10</v>
      </c>
    </row>
    <row r="496" spans="2:2">
      <c r="B496">
        <v>9</v>
      </c>
    </row>
    <row r="497" spans="2:2">
      <c r="B497">
        <v>8</v>
      </c>
    </row>
    <row r="498" spans="2:2">
      <c r="B498">
        <v>7</v>
      </c>
    </row>
    <row r="499" spans="2:2">
      <c r="B499">
        <v>6</v>
      </c>
    </row>
    <row r="500" spans="2:2">
      <c r="B500">
        <v>5</v>
      </c>
    </row>
    <row r="501" spans="2:2">
      <c r="B501">
        <v>4</v>
      </c>
    </row>
    <row r="502" spans="2:2">
      <c r="B502">
        <v>3</v>
      </c>
    </row>
    <row r="503" spans="2:2">
      <c r="B503">
        <v>2</v>
      </c>
    </row>
    <row r="504" spans="2:2">
      <c r="B504">
        <v>1</v>
      </c>
    </row>
    <row r="505" spans="2:2">
      <c r="B505">
        <v>1</v>
      </c>
    </row>
    <row r="506" spans="2:2">
      <c r="B506">
        <v>2</v>
      </c>
    </row>
    <row r="507" spans="2:2">
      <c r="B507">
        <v>3</v>
      </c>
    </row>
    <row r="508" spans="2:2">
      <c r="B508">
        <v>4</v>
      </c>
    </row>
    <row r="509" spans="2:2">
      <c r="B509">
        <v>5</v>
      </c>
    </row>
    <row r="510" spans="2:2">
      <c r="B510">
        <v>6</v>
      </c>
    </row>
    <row r="511" spans="2:2">
      <c r="B511">
        <v>7</v>
      </c>
    </row>
    <row r="512" spans="2:2">
      <c r="B512">
        <v>8</v>
      </c>
    </row>
    <row r="513" spans="2:2">
      <c r="B513">
        <v>9</v>
      </c>
    </row>
    <row r="514" spans="2:2">
      <c r="B514">
        <v>10</v>
      </c>
    </row>
    <row r="515" spans="2:2">
      <c r="B515">
        <v>11</v>
      </c>
    </row>
    <row r="516" spans="2:2">
      <c r="B516">
        <v>12</v>
      </c>
    </row>
    <row r="517" spans="2:2">
      <c r="B517">
        <v>13</v>
      </c>
    </row>
    <row r="518" spans="2:2">
      <c r="B518">
        <v>14</v>
      </c>
    </row>
    <row r="519" spans="2:2">
      <c r="B519">
        <v>15</v>
      </c>
    </row>
    <row r="520" spans="2:2">
      <c r="B520">
        <v>16</v>
      </c>
    </row>
    <row r="521" spans="2:2">
      <c r="B521">
        <v>17</v>
      </c>
    </row>
    <row r="522" spans="2:2">
      <c r="B522">
        <v>18</v>
      </c>
    </row>
    <row r="523" spans="2:2">
      <c r="B523">
        <v>19</v>
      </c>
    </row>
    <row r="524" spans="2:2">
      <c r="B524">
        <v>20</v>
      </c>
    </row>
    <row r="525" spans="2:2">
      <c r="B525">
        <v>21</v>
      </c>
    </row>
    <row r="526" spans="2:2">
      <c r="B526">
        <v>22</v>
      </c>
    </row>
    <row r="527" spans="2:2">
      <c r="B527">
        <v>23</v>
      </c>
    </row>
    <row r="528" spans="2:2">
      <c r="B528">
        <v>24</v>
      </c>
    </row>
    <row r="529" spans="2:2">
      <c r="B529">
        <v>25</v>
      </c>
    </row>
    <row r="530" spans="2:2">
      <c r="B530">
        <v>26</v>
      </c>
    </row>
    <row r="533" spans="2:2">
      <c r="B533" t="s">
        <v>276</v>
      </c>
    </row>
    <row r="534" spans="2:2">
      <c r="B534" t="s">
        <v>277</v>
      </c>
    </row>
    <row r="536" spans="2:2">
      <c r="B536" t="s">
        <v>278</v>
      </c>
    </row>
    <row r="538" spans="2:2">
      <c r="B538" t="s">
        <v>279</v>
      </c>
    </row>
    <row r="540" spans="2:2">
      <c r="B540" t="s">
        <v>280</v>
      </c>
    </row>
    <row r="541" spans="2:2">
      <c r="B541" t="s">
        <v>281</v>
      </c>
    </row>
    <row r="543" spans="2:2">
      <c r="B543" t="s">
        <v>282</v>
      </c>
    </row>
    <row r="544" spans="2:2">
      <c r="B544">
        <v>17</v>
      </c>
    </row>
    <row r="545" spans="2:2">
      <c r="B545">
        <v>16</v>
      </c>
    </row>
    <row r="546" spans="2:2">
      <c r="B546" t="s">
        <v>266</v>
      </c>
    </row>
    <row r="548" spans="2:2">
      <c r="B548" t="s">
        <v>282</v>
      </c>
    </row>
    <row r="549" spans="2:2">
      <c r="B549">
        <v>9</v>
      </c>
    </row>
    <row r="550" spans="2:2">
      <c r="B550">
        <v>8</v>
      </c>
    </row>
    <row r="551" spans="2:2">
      <c r="B551" t="s">
        <v>266</v>
      </c>
    </row>
    <row r="553" spans="2:2">
      <c r="B553" t="s">
        <v>282</v>
      </c>
    </row>
    <row r="554" spans="2:2">
      <c r="B554">
        <v>1</v>
      </c>
    </row>
    <row r="555" spans="2:2">
      <c r="B555">
        <v>1</v>
      </c>
    </row>
    <row r="556" spans="2:2">
      <c r="B556" t="s">
        <v>266</v>
      </c>
    </row>
    <row r="558" spans="2:2">
      <c r="B558" t="s">
        <v>283</v>
      </c>
    </row>
    <row r="559" spans="2:2">
      <c r="B559">
        <v>17</v>
      </c>
    </row>
    <row r="560" spans="2:2">
      <c r="B560">
        <v>16</v>
      </c>
    </row>
    <row r="561" spans="2:2">
      <c r="B561" t="s">
        <v>266</v>
      </c>
    </row>
    <row r="563" spans="2:2">
      <c r="B563" t="s">
        <v>283</v>
      </c>
    </row>
    <row r="564" spans="2:2">
      <c r="B564">
        <v>9</v>
      </c>
    </row>
    <row r="565" spans="2:2">
      <c r="B565">
        <v>8</v>
      </c>
    </row>
    <row r="566" spans="2:2">
      <c r="B566" t="s">
        <v>266</v>
      </c>
    </row>
    <row r="568" spans="2:2">
      <c r="B568" t="s">
        <v>283</v>
      </c>
    </row>
    <row r="569" spans="2:2">
      <c r="B569">
        <v>1</v>
      </c>
    </row>
    <row r="570" spans="2:2">
      <c r="B570">
        <v>1</v>
      </c>
    </row>
    <row r="571" spans="2:2">
      <c r="B571" t="s">
        <v>266</v>
      </c>
    </row>
    <row r="573" spans="2:2">
      <c r="B573" t="s">
        <v>284</v>
      </c>
    </row>
    <row r="574" spans="2:2">
      <c r="B574">
        <v>17</v>
      </c>
    </row>
    <row r="575" spans="2:2">
      <c r="B575">
        <v>16</v>
      </c>
    </row>
    <row r="576" spans="2:2">
      <c r="B576" t="s">
        <v>266</v>
      </c>
    </row>
    <row r="578" spans="2:2">
      <c r="B578" t="s">
        <v>284</v>
      </c>
    </row>
    <row r="579" spans="2:2">
      <c r="B579">
        <v>9</v>
      </c>
    </row>
    <row r="580" spans="2:2">
      <c r="B580">
        <v>8</v>
      </c>
    </row>
    <row r="581" spans="2:2">
      <c r="B581" t="s">
        <v>266</v>
      </c>
    </row>
    <row r="583" spans="2:2">
      <c r="B583" t="s">
        <v>284</v>
      </c>
    </row>
    <row r="584" spans="2:2">
      <c r="B584">
        <v>1</v>
      </c>
    </row>
    <row r="585" spans="2:2">
      <c r="B585">
        <v>1</v>
      </c>
    </row>
    <row r="586" spans="2:2">
      <c r="B586" t="s">
        <v>266</v>
      </c>
    </row>
    <row r="588" spans="2:2">
      <c r="B588" t="s">
        <v>285</v>
      </c>
    </row>
    <row r="589" spans="2:2">
      <c r="B589">
        <v>17</v>
      </c>
    </row>
    <row r="590" spans="2:2">
      <c r="B590">
        <v>16</v>
      </c>
    </row>
    <row r="591" spans="2:2">
      <c r="B591" t="s">
        <v>266</v>
      </c>
    </row>
    <row r="593" spans="2:2">
      <c r="B593" t="s">
        <v>285</v>
      </c>
    </row>
    <row r="594" spans="2:2">
      <c r="B594">
        <v>9</v>
      </c>
    </row>
    <row r="595" spans="2:2">
      <c r="B595">
        <v>8</v>
      </c>
    </row>
    <row r="596" spans="2:2">
      <c r="B596" t="s">
        <v>266</v>
      </c>
    </row>
    <row r="598" spans="2:2">
      <c r="B598" t="s">
        <v>285</v>
      </c>
    </row>
    <row r="599" spans="2:2">
      <c r="B599">
        <v>1</v>
      </c>
    </row>
    <row r="600" spans="2:2">
      <c r="B600">
        <v>1</v>
      </c>
    </row>
    <row r="601" spans="2:2">
      <c r="B601" t="s">
        <v>266</v>
      </c>
    </row>
    <row r="603" spans="2:2">
      <c r="B603" t="s">
        <v>286</v>
      </c>
    </row>
    <row r="604" spans="2:2">
      <c r="B604">
        <v>26</v>
      </c>
    </row>
    <row r="605" spans="2:2">
      <c r="B605" t="s">
        <v>266</v>
      </c>
    </row>
    <row r="607" spans="2:2">
      <c r="B607" t="s">
        <v>287</v>
      </c>
    </row>
    <row r="608" spans="2:2">
      <c r="B608">
        <v>26</v>
      </c>
    </row>
    <row r="609" spans="2:2">
      <c r="B609" t="s">
        <v>266</v>
      </c>
    </row>
  </sheetData>
  <mergeCells count="16">
    <mergeCell ref="Q100:V100"/>
    <mergeCell ref="A100:C100"/>
    <mergeCell ref="D100:H100"/>
    <mergeCell ref="I100:I101"/>
    <mergeCell ref="D71:E71"/>
    <mergeCell ref="S71:T71"/>
    <mergeCell ref="D90:E90"/>
    <mergeCell ref="S90:T90"/>
    <mergeCell ref="D27:E27"/>
    <mergeCell ref="S27:T27"/>
    <mergeCell ref="D49:E49"/>
    <mergeCell ref="S49:T49"/>
    <mergeCell ref="C3:E3"/>
    <mergeCell ref="J3:L3"/>
    <mergeCell ref="C5:D5"/>
    <mergeCell ref="R5:S5"/>
  </mergeCells>
  <phoneticPr fontId="2" type="noConversion"/>
  <conditionalFormatting sqref="H101:H113 I107:I113">
    <cfRule type="cellIs" dxfId="0" priority="1" stopIfTrue="1" operator="lessThanOrEqual">
      <formula>0</formula>
    </cfRule>
  </conditionalFormatting>
  <pageMargins left="0.75" right="0.75" top="1" bottom="1" header="0.5" footer="0.5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13"/>
  <sheetViews>
    <sheetView workbookViewId="0">
      <selection activeCell="P100" sqref="P100"/>
    </sheetView>
  </sheetViews>
  <sheetFormatPr defaultColWidth="8.85546875" defaultRowHeight="12.75"/>
  <cols>
    <col min="1" max="1" width="9.140625" style="15" customWidth="1"/>
    <col min="2" max="2" width="14" style="24" customWidth="1"/>
    <col min="3" max="3" width="12.42578125" style="24" customWidth="1"/>
    <col min="4" max="4" width="14.7109375" style="24" customWidth="1"/>
    <col min="5" max="5" width="3.28515625" style="24" customWidth="1"/>
    <col min="6" max="6" width="10" style="24" customWidth="1"/>
    <col min="7" max="7" width="8.85546875" style="24" customWidth="1"/>
    <col min="8" max="8" width="8.7109375" style="24" customWidth="1"/>
    <col min="9" max="9" width="3" style="24" customWidth="1"/>
    <col min="10" max="12" width="8.7109375" style="24" customWidth="1"/>
    <col min="13" max="13" width="3.42578125" style="24" customWidth="1"/>
    <col min="14" max="15" width="8.7109375" style="24" customWidth="1"/>
    <col min="16" max="16" width="7.85546875" style="15" customWidth="1"/>
    <col min="17" max="17" width="4.42578125" customWidth="1"/>
    <col min="18" max="18" width="9.7109375" customWidth="1"/>
    <col min="19" max="19" width="7.85546875" customWidth="1"/>
  </cols>
  <sheetData>
    <row r="2" spans="1:20" ht="13.5" thickBot="1">
      <c r="R2" s="121" t="s">
        <v>288</v>
      </c>
    </row>
    <row r="3" spans="1:20" ht="16.5" thickBot="1">
      <c r="A3" s="141" t="s">
        <v>27</v>
      </c>
      <c r="B3" s="147"/>
      <c r="C3" s="142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R3" s="125" t="s">
        <v>289</v>
      </c>
      <c r="S3" s="160">
        <v>175</v>
      </c>
    </row>
    <row r="4" spans="1:20" ht="16.5" thickBot="1">
      <c r="A4" s="9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R4" s="125" t="s">
        <v>290</v>
      </c>
      <c r="S4" s="160">
        <v>150.5</v>
      </c>
    </row>
    <row r="5" spans="1:20" ht="16.5" thickBot="1">
      <c r="A5" s="15" t="s">
        <v>31</v>
      </c>
      <c r="B5" s="139" t="s">
        <v>32</v>
      </c>
      <c r="C5" s="138"/>
      <c r="D5" s="23"/>
      <c r="E5" s="23"/>
      <c r="F5" s="23" t="s">
        <v>291</v>
      </c>
      <c r="G5" s="23"/>
      <c r="H5" s="23"/>
      <c r="I5" s="23"/>
      <c r="J5" s="23" t="s">
        <v>292</v>
      </c>
      <c r="K5" s="23"/>
      <c r="L5" s="23"/>
      <c r="M5" s="23"/>
      <c r="N5" s="23" t="s">
        <v>293</v>
      </c>
      <c r="O5" s="23" t="s">
        <v>294</v>
      </c>
      <c r="P5" s="15" t="s">
        <v>295</v>
      </c>
      <c r="R5" s="125" t="s">
        <v>296</v>
      </c>
      <c r="S5" s="160">
        <v>130.19999999999999</v>
      </c>
    </row>
    <row r="6" spans="1:20">
      <c r="A6" s="14">
        <v>2</v>
      </c>
      <c r="B6" s="26" t="s">
        <v>297</v>
      </c>
      <c r="C6" s="27"/>
      <c r="D6" s="26"/>
      <c r="E6" s="32"/>
      <c r="F6" s="26">
        <f>S$21</f>
        <v>110</v>
      </c>
      <c r="G6" s="27"/>
      <c r="H6" s="26"/>
      <c r="I6" s="32"/>
      <c r="J6" s="26"/>
      <c r="K6" s="27"/>
      <c r="L6" s="26"/>
      <c r="M6" s="32"/>
      <c r="N6" s="26"/>
      <c r="O6" s="27"/>
      <c r="P6" s="26"/>
      <c r="R6" s="125" t="s">
        <v>298</v>
      </c>
      <c r="S6" s="160">
        <v>102.2</v>
      </c>
    </row>
    <row r="7" spans="1:20">
      <c r="A7" s="16">
        <v>3</v>
      </c>
      <c r="B7" s="30" t="s">
        <v>297</v>
      </c>
      <c r="C7" s="113" t="s">
        <v>37</v>
      </c>
      <c r="D7" s="107"/>
      <c r="E7" s="32"/>
      <c r="F7" s="30">
        <f t="shared" ref="F7:F18" si="0">S$21</f>
        <v>110</v>
      </c>
      <c r="G7" s="113">
        <f>S$16</f>
        <v>144.30000000000001</v>
      </c>
      <c r="H7" s="107"/>
      <c r="I7" s="127"/>
      <c r="J7" s="107"/>
      <c r="K7" s="113">
        <f>F6+F7+F8</f>
        <v>330</v>
      </c>
      <c r="L7" s="107"/>
      <c r="M7" s="127"/>
      <c r="N7" s="107"/>
      <c r="O7" s="113">
        <f>IF(K7&gt;G7,1,0)</f>
        <v>1</v>
      </c>
      <c r="P7" s="107"/>
      <c r="R7" s="125" t="s">
        <v>298</v>
      </c>
      <c r="S7" s="160">
        <v>114.4</v>
      </c>
    </row>
    <row r="8" spans="1:20" ht="13.5" thickBot="1">
      <c r="A8" s="16">
        <v>4</v>
      </c>
      <c r="B8" s="30" t="s">
        <v>297</v>
      </c>
      <c r="C8" s="113"/>
      <c r="D8" s="107" t="s">
        <v>40</v>
      </c>
      <c r="E8" s="120"/>
      <c r="F8" s="30">
        <f t="shared" si="0"/>
        <v>110</v>
      </c>
      <c r="G8" s="113"/>
      <c r="H8" s="128">
        <f>S$14</f>
        <v>249.2</v>
      </c>
      <c r="I8" s="129"/>
      <c r="J8" s="107"/>
      <c r="K8" s="113"/>
      <c r="L8" s="107">
        <f>G7+G10</f>
        <v>288.60000000000002</v>
      </c>
      <c r="M8" s="127"/>
      <c r="N8" s="107"/>
      <c r="O8" s="113"/>
      <c r="P8" s="113">
        <f>IF(L8&gt;H8,1,0)</f>
        <v>1</v>
      </c>
      <c r="R8" s="125" t="s">
        <v>299</v>
      </c>
      <c r="S8" s="160">
        <v>100.5</v>
      </c>
    </row>
    <row r="9" spans="1:20">
      <c r="A9" s="21">
        <v>6</v>
      </c>
      <c r="B9" s="26" t="s">
        <v>297</v>
      </c>
      <c r="C9" s="115"/>
      <c r="D9" s="107"/>
      <c r="E9" s="32"/>
      <c r="F9" s="26">
        <f t="shared" si="0"/>
        <v>110</v>
      </c>
      <c r="G9" s="115"/>
      <c r="H9" s="107"/>
      <c r="I9" s="127"/>
      <c r="J9" s="104"/>
      <c r="K9" s="115"/>
      <c r="L9" s="107"/>
      <c r="M9" s="127"/>
      <c r="N9" s="104"/>
      <c r="O9" s="115"/>
      <c r="P9" s="107"/>
      <c r="R9" s="125" t="s">
        <v>300</v>
      </c>
      <c r="S9" s="160">
        <v>80.8</v>
      </c>
    </row>
    <row r="10" spans="1:20">
      <c r="A10" s="21">
        <v>7</v>
      </c>
      <c r="B10" s="30" t="s">
        <v>297</v>
      </c>
      <c r="C10" s="113" t="s">
        <v>37</v>
      </c>
      <c r="D10" s="107"/>
      <c r="E10" s="32"/>
      <c r="F10" s="30">
        <f t="shared" si="0"/>
        <v>110</v>
      </c>
      <c r="G10" s="113">
        <f>S$16</f>
        <v>144.30000000000001</v>
      </c>
      <c r="H10" s="107"/>
      <c r="I10" s="127"/>
      <c r="J10" s="107"/>
      <c r="K10" s="113">
        <f>F9+F10+F11</f>
        <v>330</v>
      </c>
      <c r="L10" s="107"/>
      <c r="M10" s="127"/>
      <c r="N10" s="107"/>
      <c r="O10" s="113">
        <f>IF(K10&gt;G10,1,0)</f>
        <v>1</v>
      </c>
      <c r="P10" s="107"/>
      <c r="R10" s="125" t="s">
        <v>301</v>
      </c>
      <c r="S10" s="160">
        <v>42.9</v>
      </c>
    </row>
    <row r="11" spans="1:20" ht="13.5" thickBot="1">
      <c r="A11" s="21">
        <v>8</v>
      </c>
      <c r="B11" s="34" t="s">
        <v>297</v>
      </c>
      <c r="C11" s="35"/>
      <c r="D11" s="34"/>
      <c r="E11" s="32"/>
      <c r="F11" s="34">
        <f t="shared" si="0"/>
        <v>110</v>
      </c>
      <c r="G11" s="114"/>
      <c r="H11" s="108"/>
      <c r="I11" s="127"/>
      <c r="J11" s="108"/>
      <c r="K11" s="114"/>
      <c r="L11" s="108"/>
      <c r="M11" s="127"/>
      <c r="N11" s="108"/>
      <c r="O11" s="114"/>
      <c r="P11" s="108"/>
      <c r="R11" s="125" t="s">
        <v>302</v>
      </c>
      <c r="S11" s="160">
        <v>36.200000000000003</v>
      </c>
    </row>
    <row r="12" spans="1:20">
      <c r="A12" s="21">
        <v>10</v>
      </c>
      <c r="B12" s="26" t="s">
        <v>297</v>
      </c>
      <c r="C12" s="27"/>
      <c r="D12" s="26"/>
      <c r="E12" s="32"/>
      <c r="F12" s="26">
        <f t="shared" si="0"/>
        <v>110</v>
      </c>
      <c r="G12" s="115"/>
      <c r="H12" s="104"/>
      <c r="I12" s="127"/>
      <c r="J12" s="104"/>
      <c r="K12" s="115"/>
      <c r="L12" s="104"/>
      <c r="M12" s="127"/>
      <c r="N12" s="104"/>
      <c r="O12" s="115"/>
      <c r="P12" s="104"/>
      <c r="R12" s="125" t="s">
        <v>303</v>
      </c>
      <c r="S12" s="160">
        <v>25.1</v>
      </c>
    </row>
    <row r="13" spans="1:20">
      <c r="A13" s="21">
        <v>11</v>
      </c>
      <c r="B13" s="30" t="s">
        <v>297</v>
      </c>
      <c r="C13" s="31" t="s">
        <v>49</v>
      </c>
      <c r="D13" s="30"/>
      <c r="E13" s="32"/>
      <c r="F13" s="30">
        <f t="shared" si="0"/>
        <v>110</v>
      </c>
      <c r="G13" s="130">
        <f>S$17</f>
        <v>116</v>
      </c>
      <c r="H13" s="107"/>
      <c r="I13" s="127"/>
      <c r="J13" s="107"/>
      <c r="K13" s="113">
        <f>F12+F13+F14</f>
        <v>330</v>
      </c>
      <c r="L13" s="107"/>
      <c r="M13" s="127"/>
      <c r="N13" s="107"/>
      <c r="O13" s="113">
        <f>IF(K13&gt;G13,1,0)</f>
        <v>1</v>
      </c>
      <c r="P13" s="107"/>
    </row>
    <row r="14" spans="1:20" ht="13.5" thickBot="1">
      <c r="A14" s="21">
        <v>12</v>
      </c>
      <c r="B14" s="30" t="s">
        <v>297</v>
      </c>
      <c r="C14" s="31"/>
      <c r="D14" s="30" t="s">
        <v>52</v>
      </c>
      <c r="E14" s="32"/>
      <c r="F14" s="30">
        <f t="shared" si="0"/>
        <v>110</v>
      </c>
      <c r="G14" s="113"/>
      <c r="H14" s="128">
        <f>S$15</f>
        <v>195.4</v>
      </c>
      <c r="I14" s="129"/>
      <c r="J14" s="107"/>
      <c r="K14" s="113"/>
      <c r="L14" s="107">
        <f>G13+G16</f>
        <v>232</v>
      </c>
      <c r="M14" s="127"/>
      <c r="N14" s="107"/>
      <c r="O14" s="113"/>
      <c r="P14" s="113">
        <f>IF(L14&gt;H14,1,0)</f>
        <v>1</v>
      </c>
      <c r="R14" s="125" t="s">
        <v>304</v>
      </c>
      <c r="S14" s="160">
        <v>249.2</v>
      </c>
    </row>
    <row r="15" spans="1:20">
      <c r="A15" s="21">
        <v>14</v>
      </c>
      <c r="B15" s="26" t="s">
        <v>297</v>
      </c>
      <c r="C15" s="27"/>
      <c r="D15" s="30"/>
      <c r="E15" s="32"/>
      <c r="F15" s="26">
        <f t="shared" si="0"/>
        <v>110</v>
      </c>
      <c r="G15" s="115"/>
      <c r="H15" s="107"/>
      <c r="I15" s="127"/>
      <c r="J15" s="104"/>
      <c r="K15" s="115"/>
      <c r="L15" s="107"/>
      <c r="M15" s="127"/>
      <c r="N15" s="104"/>
      <c r="O15" s="115"/>
      <c r="P15" s="107"/>
      <c r="R15" s="125" t="s">
        <v>305</v>
      </c>
      <c r="S15" s="160">
        <v>195.4</v>
      </c>
      <c r="T15" s="160">
        <v>176.4</v>
      </c>
    </row>
    <row r="16" spans="1:20">
      <c r="A16" s="21">
        <v>15</v>
      </c>
      <c r="B16" s="30" t="s">
        <v>297</v>
      </c>
      <c r="C16" s="31" t="s">
        <v>49</v>
      </c>
      <c r="D16" s="30"/>
      <c r="E16" s="32"/>
      <c r="F16" s="30">
        <f t="shared" si="0"/>
        <v>110</v>
      </c>
      <c r="G16" s="130">
        <f>S$17</f>
        <v>116</v>
      </c>
      <c r="H16" s="107"/>
      <c r="I16" s="127"/>
      <c r="J16" s="107"/>
      <c r="K16" s="113">
        <f>F15+F16+F17</f>
        <v>330</v>
      </c>
      <c r="L16" s="107"/>
      <c r="M16" s="127"/>
      <c r="N16" s="107"/>
      <c r="O16" s="113">
        <f>IF(K16&gt;G16,1,0)</f>
        <v>1</v>
      </c>
      <c r="P16" s="107"/>
      <c r="R16" s="126" t="s">
        <v>306</v>
      </c>
      <c r="S16" s="160">
        <v>144.30000000000001</v>
      </c>
      <c r="T16" s="160">
        <v>136</v>
      </c>
    </row>
    <row r="17" spans="1:20" ht="13.5" thickBot="1">
      <c r="A17" s="21">
        <v>16</v>
      </c>
      <c r="B17" s="34" t="s">
        <v>297</v>
      </c>
      <c r="C17" s="35"/>
      <c r="D17" s="34"/>
      <c r="E17" s="32"/>
      <c r="F17" s="34">
        <f t="shared" si="0"/>
        <v>110</v>
      </c>
      <c r="G17" s="114"/>
      <c r="H17" s="108"/>
      <c r="I17" s="127"/>
      <c r="J17" s="108"/>
      <c r="K17" s="114"/>
      <c r="L17" s="108"/>
      <c r="M17" s="127"/>
      <c r="N17" s="108"/>
      <c r="O17" s="114"/>
      <c r="P17" s="108"/>
      <c r="R17" s="125" t="s">
        <v>307</v>
      </c>
      <c r="S17" s="160">
        <v>116</v>
      </c>
      <c r="T17" s="160">
        <v>106.8</v>
      </c>
    </row>
    <row r="18" spans="1:20">
      <c r="A18" s="21">
        <v>18</v>
      </c>
      <c r="B18" s="26" t="s">
        <v>297</v>
      </c>
      <c r="C18" s="27"/>
      <c r="D18" s="26"/>
      <c r="E18" s="32"/>
      <c r="F18" s="26">
        <f t="shared" si="0"/>
        <v>110</v>
      </c>
      <c r="G18" s="115"/>
      <c r="H18" s="104"/>
      <c r="I18" s="127"/>
      <c r="J18" s="104"/>
      <c r="K18" s="115"/>
      <c r="L18" s="104"/>
      <c r="M18" s="127"/>
      <c r="N18" s="104"/>
      <c r="O18" s="115"/>
      <c r="P18" s="104"/>
      <c r="R18" s="125" t="s">
        <v>308</v>
      </c>
      <c r="S18" s="160">
        <v>100.1</v>
      </c>
    </row>
    <row r="19" spans="1:20">
      <c r="A19" s="21">
        <v>19</v>
      </c>
      <c r="B19" s="30" t="s">
        <v>71</v>
      </c>
      <c r="C19" s="31" t="s">
        <v>49</v>
      </c>
      <c r="D19" s="30"/>
      <c r="E19" s="32"/>
      <c r="F19" s="30">
        <f>S$23</f>
        <v>73.3</v>
      </c>
      <c r="G19" s="130">
        <f>S$17</f>
        <v>116</v>
      </c>
      <c r="H19" s="107"/>
      <c r="I19" s="127"/>
      <c r="J19" s="107"/>
      <c r="K19" s="113">
        <f>F18+F19+F20</f>
        <v>256.60000000000002</v>
      </c>
      <c r="L19" s="107"/>
      <c r="M19" s="127"/>
      <c r="N19" s="107"/>
      <c r="O19" s="113">
        <f>IF(K19&gt;G19,1,0)</f>
        <v>1</v>
      </c>
      <c r="P19" s="107"/>
      <c r="R19" s="125" t="s">
        <v>309</v>
      </c>
      <c r="S19" s="160">
        <v>72.7</v>
      </c>
      <c r="T19" s="160">
        <v>71.400000000000006</v>
      </c>
    </row>
    <row r="20" spans="1:20" ht="13.5" thickBot="1">
      <c r="A20" s="21">
        <v>20</v>
      </c>
      <c r="B20" s="30" t="s">
        <v>71</v>
      </c>
      <c r="C20" s="31"/>
      <c r="D20" s="30" t="s">
        <v>63</v>
      </c>
      <c r="E20" s="32"/>
      <c r="F20" s="30">
        <f t="shared" ref="F20:F25" si="1">S$23</f>
        <v>73.3</v>
      </c>
      <c r="G20" s="113"/>
      <c r="H20" s="128">
        <f>S$16</f>
        <v>144.30000000000001</v>
      </c>
      <c r="I20" s="129"/>
      <c r="J20" s="107"/>
      <c r="K20" s="113"/>
      <c r="L20" s="107">
        <f>G19+G22</f>
        <v>188.7</v>
      </c>
      <c r="M20" s="127"/>
      <c r="N20" s="107"/>
      <c r="O20" s="113"/>
      <c r="P20" s="113">
        <f>IF(L20&gt;H20,1,0)</f>
        <v>1</v>
      </c>
    </row>
    <row r="21" spans="1:20">
      <c r="A21" s="21">
        <v>22</v>
      </c>
      <c r="B21" s="26" t="s">
        <v>71</v>
      </c>
      <c r="C21" s="27"/>
      <c r="D21" s="30"/>
      <c r="E21" s="32"/>
      <c r="F21" s="26">
        <f t="shared" si="1"/>
        <v>73.3</v>
      </c>
      <c r="G21" s="115"/>
      <c r="H21" s="107"/>
      <c r="I21" s="127"/>
      <c r="J21" s="104"/>
      <c r="K21" s="115"/>
      <c r="L21" s="107"/>
      <c r="M21" s="127"/>
      <c r="N21" s="104"/>
      <c r="O21" s="115"/>
      <c r="P21" s="107"/>
      <c r="R21" s="125" t="s">
        <v>310</v>
      </c>
      <c r="S21" s="160">
        <v>110</v>
      </c>
      <c r="T21" s="160">
        <v>108.2</v>
      </c>
    </row>
    <row r="22" spans="1:20">
      <c r="A22" s="21">
        <v>23</v>
      </c>
      <c r="B22" s="30" t="s">
        <v>71</v>
      </c>
      <c r="C22" s="31" t="s">
        <v>67</v>
      </c>
      <c r="D22" s="30"/>
      <c r="E22" s="32"/>
      <c r="F22" s="30">
        <f t="shared" si="1"/>
        <v>73.3</v>
      </c>
      <c r="G22" s="130">
        <f>S$19</f>
        <v>72.7</v>
      </c>
      <c r="H22" s="107"/>
      <c r="I22" s="127"/>
      <c r="J22" s="107"/>
      <c r="K22" s="113">
        <f>F21+F22+F23</f>
        <v>219.89999999999998</v>
      </c>
      <c r="L22" s="107"/>
      <c r="M22" s="127"/>
      <c r="N22" s="107"/>
      <c r="O22" s="113">
        <f>IF(K22&gt;G22,1,0)</f>
        <v>1</v>
      </c>
      <c r="P22" s="107"/>
      <c r="R22" s="125"/>
    </row>
    <row r="23" spans="1:20" ht="13.5" thickBot="1">
      <c r="A23" s="21">
        <v>24</v>
      </c>
      <c r="B23" s="34" t="s">
        <v>71</v>
      </c>
      <c r="C23" s="35"/>
      <c r="D23" s="34"/>
      <c r="E23" s="32"/>
      <c r="F23" s="34">
        <f t="shared" si="1"/>
        <v>73.3</v>
      </c>
      <c r="G23" s="114"/>
      <c r="H23" s="108"/>
      <c r="I23" s="127"/>
      <c r="J23" s="108"/>
      <c r="K23" s="114"/>
      <c r="L23" s="108"/>
      <c r="M23" s="127"/>
      <c r="N23" s="108"/>
      <c r="O23" s="114"/>
      <c r="P23" s="108"/>
      <c r="R23" s="125" t="s">
        <v>311</v>
      </c>
      <c r="S23" s="160">
        <v>73.3</v>
      </c>
      <c r="T23" s="160">
        <v>73</v>
      </c>
    </row>
    <row r="24" spans="1:20">
      <c r="A24" s="21">
        <v>26</v>
      </c>
      <c r="B24" s="26" t="s">
        <v>71</v>
      </c>
      <c r="C24" s="26" t="s">
        <v>71</v>
      </c>
      <c r="D24" s="32"/>
      <c r="E24" s="32"/>
      <c r="F24" s="26">
        <f t="shared" si="1"/>
        <v>73.3</v>
      </c>
      <c r="G24" s="131">
        <f>S$23</f>
        <v>73.3</v>
      </c>
      <c r="H24" s="127"/>
      <c r="I24" s="127"/>
      <c r="J24" s="104"/>
      <c r="K24" s="104">
        <f>F24+F25</f>
        <v>146.6</v>
      </c>
      <c r="L24" s="127"/>
      <c r="M24" s="127"/>
      <c r="N24" s="104"/>
      <c r="O24" s="113">
        <f>IF(K24&gt;G24,1,0)</f>
        <v>1</v>
      </c>
      <c r="P24" s="127"/>
    </row>
    <row r="25" spans="1:20" ht="13.5" thickBot="1">
      <c r="A25" s="22">
        <v>27</v>
      </c>
      <c r="B25" s="34" t="s">
        <v>71</v>
      </c>
      <c r="C25" s="34"/>
      <c r="D25" s="32"/>
      <c r="E25" s="32"/>
      <c r="F25" s="34">
        <f t="shared" si="1"/>
        <v>73.3</v>
      </c>
      <c r="G25" s="34"/>
      <c r="H25" s="32"/>
      <c r="I25" s="32"/>
      <c r="J25" s="34"/>
      <c r="K25" s="34"/>
      <c r="L25" s="32"/>
      <c r="M25" s="32"/>
      <c r="N25" s="34"/>
      <c r="O25" s="34"/>
      <c r="P25" s="32"/>
    </row>
    <row r="26" spans="1:20" ht="16.5" thickBot="1">
      <c r="A26" s="9"/>
    </row>
    <row r="27" spans="1:20" ht="16.5" thickBot="1">
      <c r="A27" s="15" t="s">
        <v>31</v>
      </c>
      <c r="B27" s="23"/>
      <c r="C27" s="139" t="s">
        <v>75</v>
      </c>
      <c r="D27" s="138"/>
      <c r="E27" s="140"/>
      <c r="F27" s="23" t="s">
        <v>291</v>
      </c>
      <c r="G27" s="23"/>
      <c r="H27" s="23"/>
      <c r="I27" s="23"/>
      <c r="J27" s="23" t="s">
        <v>292</v>
      </c>
      <c r="K27" s="23"/>
      <c r="L27" s="23"/>
      <c r="M27" s="23"/>
      <c r="N27" s="23" t="s">
        <v>293</v>
      </c>
      <c r="O27" s="23" t="s">
        <v>294</v>
      </c>
      <c r="P27" s="15" t="s">
        <v>295</v>
      </c>
    </row>
    <row r="28" spans="1:20">
      <c r="A28" s="14">
        <v>2</v>
      </c>
      <c r="B28" s="26" t="s">
        <v>297</v>
      </c>
      <c r="C28" s="27"/>
      <c r="D28" s="26"/>
      <c r="E28" s="32"/>
      <c r="F28" s="26">
        <f>S$21</f>
        <v>110</v>
      </c>
      <c r="G28" s="27"/>
      <c r="H28" s="26"/>
      <c r="I28" s="32"/>
      <c r="J28" s="26"/>
      <c r="K28" s="27"/>
      <c r="L28" s="26"/>
      <c r="M28" s="32"/>
      <c r="N28" s="26"/>
      <c r="O28" s="27"/>
      <c r="P28" s="26"/>
    </row>
    <row r="29" spans="1:20">
      <c r="A29" s="16">
        <v>3</v>
      </c>
      <c r="B29" s="30" t="s">
        <v>297</v>
      </c>
      <c r="C29" s="31" t="s">
        <v>77</v>
      </c>
      <c r="D29" s="30"/>
      <c r="E29" s="32"/>
      <c r="F29" s="30">
        <f t="shared" ref="F29:F40" si="2">S$21</f>
        <v>110</v>
      </c>
      <c r="G29" s="130">
        <f>S$17</f>
        <v>116</v>
      </c>
      <c r="H29" s="107"/>
      <c r="I29" s="127"/>
      <c r="J29" s="107"/>
      <c r="K29" s="113">
        <f>F28+F29+F30</f>
        <v>330</v>
      </c>
      <c r="L29" s="107"/>
      <c r="M29" s="127"/>
      <c r="N29" s="107"/>
      <c r="O29" s="113">
        <f>IF(K29&gt;G29,1,0)</f>
        <v>1</v>
      </c>
      <c r="P29" s="107"/>
    </row>
    <row r="30" spans="1:20" ht="13.5" thickBot="1">
      <c r="A30" s="16">
        <v>4</v>
      </c>
      <c r="B30" s="30" t="s">
        <v>297</v>
      </c>
      <c r="C30" s="31"/>
      <c r="D30" s="107" t="s">
        <v>80</v>
      </c>
      <c r="E30" s="32"/>
      <c r="F30" s="30">
        <f t="shared" si="2"/>
        <v>110</v>
      </c>
      <c r="G30" s="113"/>
      <c r="H30" s="128">
        <f>S$15</f>
        <v>195.4</v>
      </c>
      <c r="I30" s="129"/>
      <c r="J30" s="107"/>
      <c r="K30" s="113"/>
      <c r="L30" s="107">
        <f>G29+G32</f>
        <v>232</v>
      </c>
      <c r="M30" s="127"/>
      <c r="N30" s="107"/>
      <c r="O30" s="113"/>
      <c r="P30" s="113">
        <f>IF(L30&gt;H30,1,0)</f>
        <v>1</v>
      </c>
    </row>
    <row r="31" spans="1:20">
      <c r="A31" s="21">
        <v>6</v>
      </c>
      <c r="B31" s="26" t="s">
        <v>297</v>
      </c>
      <c r="C31" s="27"/>
      <c r="D31" s="30"/>
      <c r="E31" s="32"/>
      <c r="F31" s="26">
        <f t="shared" si="2"/>
        <v>110</v>
      </c>
      <c r="G31" s="115"/>
      <c r="H31" s="107"/>
      <c r="I31" s="127"/>
      <c r="J31" s="104"/>
      <c r="K31" s="115"/>
      <c r="L31" s="107"/>
      <c r="M31" s="127"/>
      <c r="N31" s="104"/>
      <c r="O31" s="115"/>
      <c r="P31" s="107"/>
    </row>
    <row r="32" spans="1:20">
      <c r="A32" s="21">
        <v>7</v>
      </c>
      <c r="B32" s="30" t="s">
        <v>297</v>
      </c>
      <c r="C32" s="31" t="s">
        <v>77</v>
      </c>
      <c r="D32" s="30"/>
      <c r="E32" s="32"/>
      <c r="F32" s="30">
        <f t="shared" si="2"/>
        <v>110</v>
      </c>
      <c r="G32" s="130">
        <f>S$17</f>
        <v>116</v>
      </c>
      <c r="H32" s="107"/>
      <c r="I32" s="127"/>
      <c r="J32" s="107"/>
      <c r="K32" s="113">
        <f>F31+F32+F33</f>
        <v>330</v>
      </c>
      <c r="L32" s="107"/>
      <c r="M32" s="127"/>
      <c r="N32" s="107"/>
      <c r="O32" s="113">
        <f>IF(K32&gt;G32,1,0)</f>
        <v>1</v>
      </c>
      <c r="P32" s="107"/>
    </row>
    <row r="33" spans="1:16" ht="13.5" thickBot="1">
      <c r="A33" s="21">
        <v>8</v>
      </c>
      <c r="B33" s="34" t="s">
        <v>297</v>
      </c>
      <c r="C33" s="35"/>
      <c r="D33" s="34"/>
      <c r="E33" s="32"/>
      <c r="F33" s="34">
        <f t="shared" si="2"/>
        <v>110</v>
      </c>
      <c r="G33" s="114"/>
      <c r="H33" s="108"/>
      <c r="I33" s="127"/>
      <c r="J33" s="108"/>
      <c r="K33" s="114"/>
      <c r="L33" s="108"/>
      <c r="M33" s="127"/>
      <c r="N33" s="108"/>
      <c r="O33" s="114"/>
      <c r="P33" s="108"/>
    </row>
    <row r="34" spans="1:16">
      <c r="A34" s="21">
        <v>10</v>
      </c>
      <c r="B34" s="26" t="s">
        <v>297</v>
      </c>
      <c r="C34" s="27"/>
      <c r="D34" s="26"/>
      <c r="E34" s="32"/>
      <c r="F34" s="26">
        <f t="shared" si="2"/>
        <v>110</v>
      </c>
      <c r="G34" s="115"/>
      <c r="H34" s="104"/>
      <c r="I34" s="127"/>
      <c r="J34" s="104"/>
      <c r="K34" s="115"/>
      <c r="L34" s="104"/>
      <c r="M34" s="127"/>
      <c r="N34" s="104"/>
      <c r="O34" s="115"/>
      <c r="P34" s="104"/>
    </row>
    <row r="35" spans="1:16">
      <c r="A35" s="21">
        <v>11</v>
      </c>
      <c r="B35" s="30" t="s">
        <v>297</v>
      </c>
      <c r="C35" s="31" t="s">
        <v>77</v>
      </c>
      <c r="D35" s="30"/>
      <c r="E35" s="32"/>
      <c r="F35" s="30">
        <f t="shared" si="2"/>
        <v>110</v>
      </c>
      <c r="G35" s="130">
        <f>S$17</f>
        <v>116</v>
      </c>
      <c r="H35" s="107"/>
      <c r="I35" s="127"/>
      <c r="J35" s="107"/>
      <c r="K35" s="113">
        <f>F34+F35+F36</f>
        <v>330</v>
      </c>
      <c r="L35" s="107"/>
      <c r="M35" s="127"/>
      <c r="N35" s="107"/>
      <c r="O35" s="113">
        <f>IF(K35&gt;G35,1,0)</f>
        <v>1</v>
      </c>
      <c r="P35" s="107"/>
    </row>
    <row r="36" spans="1:16" ht="13.5" thickBot="1">
      <c r="A36" s="21">
        <v>12</v>
      </c>
      <c r="B36" s="30" t="s">
        <v>297</v>
      </c>
      <c r="C36" s="31"/>
      <c r="D36" s="30" t="s">
        <v>80</v>
      </c>
      <c r="E36" s="32"/>
      <c r="F36" s="30">
        <f t="shared" si="2"/>
        <v>110</v>
      </c>
      <c r="G36" s="113"/>
      <c r="H36" s="128">
        <f>S$15</f>
        <v>195.4</v>
      </c>
      <c r="I36" s="129"/>
      <c r="J36" s="107"/>
      <c r="K36" s="113"/>
      <c r="L36" s="107">
        <f>G35+G38</f>
        <v>232</v>
      </c>
      <c r="M36" s="127"/>
      <c r="N36" s="107"/>
      <c r="O36" s="113"/>
      <c r="P36" s="113">
        <f>IF(L36&gt;H36,1,0)</f>
        <v>1</v>
      </c>
    </row>
    <row r="37" spans="1:16">
      <c r="A37" s="21">
        <v>14</v>
      </c>
      <c r="B37" s="26" t="s">
        <v>297</v>
      </c>
      <c r="C37" s="27"/>
      <c r="D37" s="30"/>
      <c r="E37" s="32"/>
      <c r="F37" s="26">
        <f t="shared" si="2"/>
        <v>110</v>
      </c>
      <c r="G37" s="115"/>
      <c r="H37" s="107"/>
      <c r="I37" s="127"/>
      <c r="J37" s="104"/>
      <c r="K37" s="115"/>
      <c r="L37" s="107"/>
      <c r="M37" s="127"/>
      <c r="N37" s="104"/>
      <c r="O37" s="115"/>
      <c r="P37" s="107"/>
    </row>
    <row r="38" spans="1:16">
      <c r="A38" s="21">
        <v>15</v>
      </c>
      <c r="B38" s="30" t="s">
        <v>297</v>
      </c>
      <c r="C38" s="31" t="s">
        <v>77</v>
      </c>
      <c r="D38" s="30"/>
      <c r="E38" s="32"/>
      <c r="F38" s="30">
        <f t="shared" si="2"/>
        <v>110</v>
      </c>
      <c r="G38" s="130">
        <f>S$17</f>
        <v>116</v>
      </c>
      <c r="H38" s="107"/>
      <c r="I38" s="127"/>
      <c r="J38" s="107"/>
      <c r="K38" s="113">
        <f>F37+F38+F39</f>
        <v>330</v>
      </c>
      <c r="L38" s="107"/>
      <c r="M38" s="127"/>
      <c r="N38" s="107"/>
      <c r="O38" s="113">
        <f>IF(K38&gt;G38,1,0)</f>
        <v>1</v>
      </c>
      <c r="P38" s="107"/>
    </row>
    <row r="39" spans="1:16" ht="13.5" thickBot="1">
      <c r="A39" s="21">
        <v>16</v>
      </c>
      <c r="B39" s="34" t="s">
        <v>297</v>
      </c>
      <c r="C39" s="35"/>
      <c r="D39" s="34"/>
      <c r="E39" s="32"/>
      <c r="F39" s="34">
        <f t="shared" si="2"/>
        <v>110</v>
      </c>
      <c r="G39" s="114"/>
      <c r="H39" s="108"/>
      <c r="I39" s="127"/>
      <c r="J39" s="108"/>
      <c r="K39" s="114"/>
      <c r="L39" s="108"/>
      <c r="M39" s="127"/>
      <c r="N39" s="108"/>
      <c r="O39" s="114"/>
      <c r="P39" s="108"/>
    </row>
    <row r="40" spans="1:16">
      <c r="A40" s="21">
        <v>18</v>
      </c>
      <c r="B40" s="26" t="s">
        <v>297</v>
      </c>
      <c r="C40" s="27"/>
      <c r="D40" s="26"/>
      <c r="E40" s="32"/>
      <c r="F40" s="26">
        <f t="shared" si="2"/>
        <v>110</v>
      </c>
      <c r="G40" s="115"/>
      <c r="H40" s="104"/>
      <c r="I40" s="127"/>
      <c r="J40" s="104"/>
      <c r="K40" s="115"/>
      <c r="L40" s="104"/>
      <c r="M40" s="127"/>
      <c r="N40" s="104"/>
      <c r="O40" s="115"/>
      <c r="P40" s="104"/>
    </row>
    <row r="41" spans="1:16">
      <c r="A41" s="21">
        <v>19</v>
      </c>
      <c r="B41" s="30" t="s">
        <v>71</v>
      </c>
      <c r="C41" s="31" t="s">
        <v>77</v>
      </c>
      <c r="D41" s="30"/>
      <c r="E41" s="32"/>
      <c r="F41" s="30">
        <f>S$23</f>
        <v>73.3</v>
      </c>
      <c r="G41" s="130">
        <f>S$17</f>
        <v>116</v>
      </c>
      <c r="H41" s="107"/>
      <c r="I41" s="127"/>
      <c r="J41" s="107"/>
      <c r="K41" s="113">
        <f>F40+F41+F42</f>
        <v>256.60000000000002</v>
      </c>
      <c r="L41" s="107"/>
      <c r="M41" s="127"/>
      <c r="N41" s="107"/>
      <c r="O41" s="113">
        <f>IF(K41&gt;G41,1,0)</f>
        <v>1</v>
      </c>
      <c r="P41" s="107"/>
    </row>
    <row r="42" spans="1:16" ht="13.5" thickBot="1">
      <c r="A42" s="21">
        <v>20</v>
      </c>
      <c r="B42" s="30" t="s">
        <v>71</v>
      </c>
      <c r="C42" s="31"/>
      <c r="D42" s="30" t="s">
        <v>99</v>
      </c>
      <c r="E42" s="32"/>
      <c r="F42" s="30">
        <f t="shared" ref="F42:F47" si="3">S$23</f>
        <v>73.3</v>
      </c>
      <c r="G42" s="113"/>
      <c r="H42" s="128">
        <f>S$16</f>
        <v>144.30000000000001</v>
      </c>
      <c r="I42" s="129"/>
      <c r="J42" s="107"/>
      <c r="K42" s="113"/>
      <c r="L42" s="107">
        <f>G41+G44</f>
        <v>188.7</v>
      </c>
      <c r="M42" s="127"/>
      <c r="N42" s="107"/>
      <c r="O42" s="113"/>
      <c r="P42" s="113">
        <f>IF(L42&gt;H42,1,0)</f>
        <v>1</v>
      </c>
    </row>
    <row r="43" spans="1:16">
      <c r="A43" s="21">
        <v>22</v>
      </c>
      <c r="B43" s="26" t="s">
        <v>71</v>
      </c>
      <c r="C43" s="27"/>
      <c r="D43" s="30"/>
      <c r="E43" s="32"/>
      <c r="F43" s="26">
        <f t="shared" si="3"/>
        <v>73.3</v>
      </c>
      <c r="G43" s="115"/>
      <c r="H43" s="107"/>
      <c r="I43" s="127"/>
      <c r="J43" s="104"/>
      <c r="K43" s="115"/>
      <c r="L43" s="107"/>
      <c r="M43" s="127"/>
      <c r="N43" s="104"/>
      <c r="O43" s="115"/>
      <c r="P43" s="107"/>
    </row>
    <row r="44" spans="1:16">
      <c r="A44" s="21">
        <v>23</v>
      </c>
      <c r="B44" s="30" t="s">
        <v>71</v>
      </c>
      <c r="C44" s="31" t="s">
        <v>103</v>
      </c>
      <c r="D44" s="30"/>
      <c r="E44" s="32"/>
      <c r="F44" s="30">
        <f t="shared" si="3"/>
        <v>73.3</v>
      </c>
      <c r="G44" s="130">
        <f>S$19</f>
        <v>72.7</v>
      </c>
      <c r="H44" s="107"/>
      <c r="I44" s="127"/>
      <c r="J44" s="107"/>
      <c r="K44" s="113">
        <f>F43+F44+F45</f>
        <v>219.89999999999998</v>
      </c>
      <c r="L44" s="107"/>
      <c r="M44" s="127"/>
      <c r="N44" s="107"/>
      <c r="O44" s="113">
        <f>IF(K44&gt;G44,1,0)</f>
        <v>1</v>
      </c>
      <c r="P44" s="107"/>
    </row>
    <row r="45" spans="1:16" ht="13.5" thickBot="1">
      <c r="A45" s="21">
        <v>24</v>
      </c>
      <c r="B45" s="34" t="s">
        <v>71</v>
      </c>
      <c r="C45" s="35"/>
      <c r="D45" s="34"/>
      <c r="E45" s="32"/>
      <c r="F45" s="34">
        <f t="shared" si="3"/>
        <v>73.3</v>
      </c>
      <c r="G45" s="114"/>
      <c r="H45" s="108"/>
      <c r="I45" s="127"/>
      <c r="J45" s="108"/>
      <c r="K45" s="114"/>
      <c r="L45" s="108"/>
      <c r="M45" s="127"/>
      <c r="N45" s="108"/>
      <c r="O45" s="114"/>
      <c r="P45" s="108"/>
    </row>
    <row r="46" spans="1:16">
      <c r="A46" s="21">
        <v>26</v>
      </c>
      <c r="B46" s="26" t="s">
        <v>71</v>
      </c>
      <c r="C46" s="26" t="s">
        <v>71</v>
      </c>
      <c r="D46" s="32"/>
      <c r="E46" s="32"/>
      <c r="F46" s="26">
        <f t="shared" si="3"/>
        <v>73.3</v>
      </c>
      <c r="G46" s="131">
        <f>S$23</f>
        <v>73.3</v>
      </c>
      <c r="H46" s="127"/>
      <c r="I46" s="127"/>
      <c r="J46" s="104"/>
      <c r="K46" s="104">
        <f>F46+F47</f>
        <v>146.6</v>
      </c>
      <c r="L46" s="127"/>
      <c r="M46" s="127"/>
      <c r="N46" s="104"/>
      <c r="O46" s="113">
        <f>IF(K46&gt;G46,1,0)</f>
        <v>1</v>
      </c>
      <c r="P46" s="127"/>
    </row>
    <row r="47" spans="1:16" ht="13.5" thickBot="1">
      <c r="A47" s="22">
        <v>27</v>
      </c>
      <c r="B47" s="34" t="s">
        <v>71</v>
      </c>
      <c r="C47" s="34"/>
      <c r="D47" s="32"/>
      <c r="E47" s="32"/>
      <c r="F47" s="34">
        <f t="shared" si="3"/>
        <v>73.3</v>
      </c>
      <c r="G47" s="108"/>
      <c r="H47" s="127"/>
      <c r="I47" s="127"/>
      <c r="J47" s="108"/>
      <c r="K47" s="108"/>
      <c r="L47" s="127"/>
      <c r="M47" s="127"/>
      <c r="N47" s="108"/>
      <c r="O47" s="108"/>
      <c r="P47" s="127"/>
    </row>
    <row r="48" spans="1:16" ht="13.5" thickBot="1"/>
    <row r="49" spans="1:16" ht="16.5" thickBot="1">
      <c r="A49" s="15" t="s">
        <v>31</v>
      </c>
      <c r="B49" s="23"/>
      <c r="C49" s="139" t="s">
        <v>109</v>
      </c>
      <c r="D49" s="138"/>
      <c r="E49" s="140"/>
      <c r="F49" s="23" t="s">
        <v>291</v>
      </c>
      <c r="G49" s="23"/>
      <c r="H49" s="23"/>
      <c r="I49" s="23"/>
      <c r="J49" s="23" t="s">
        <v>292</v>
      </c>
      <c r="K49" s="23"/>
      <c r="L49" s="23"/>
      <c r="M49" s="23"/>
      <c r="N49" s="23" t="s">
        <v>293</v>
      </c>
      <c r="O49" s="23" t="s">
        <v>294</v>
      </c>
      <c r="P49" s="15" t="s">
        <v>295</v>
      </c>
    </row>
    <row r="50" spans="1:16">
      <c r="A50" s="14">
        <v>2</v>
      </c>
      <c r="B50" s="26" t="s">
        <v>297</v>
      </c>
      <c r="C50" s="27"/>
      <c r="D50" s="26"/>
      <c r="E50" s="32"/>
      <c r="F50" s="26">
        <f>S$21</f>
        <v>110</v>
      </c>
      <c r="G50" s="27"/>
      <c r="H50" s="26"/>
      <c r="I50" s="32"/>
      <c r="J50" s="26"/>
      <c r="K50" s="27"/>
      <c r="L50" s="26"/>
      <c r="M50" s="32"/>
      <c r="N50" s="26"/>
      <c r="O50" s="27"/>
      <c r="P50" s="26"/>
    </row>
    <row r="51" spans="1:16">
      <c r="A51" s="16">
        <v>3</v>
      </c>
      <c r="B51" s="30" t="s">
        <v>297</v>
      </c>
      <c r="C51" s="31" t="s">
        <v>111</v>
      </c>
      <c r="D51" s="30"/>
      <c r="E51" s="32"/>
      <c r="F51" s="30">
        <f t="shared" ref="F51:F62" si="4">S$21</f>
        <v>110</v>
      </c>
      <c r="G51" s="130">
        <f>S$17</f>
        <v>116</v>
      </c>
      <c r="H51" s="107"/>
      <c r="I51" s="127"/>
      <c r="J51" s="107"/>
      <c r="K51" s="113">
        <f>F50+F51+F52</f>
        <v>330</v>
      </c>
      <c r="L51" s="107"/>
      <c r="M51" s="127"/>
      <c r="N51" s="107"/>
      <c r="O51" s="113">
        <f>IF(K51&gt;G51,1,0)</f>
        <v>1</v>
      </c>
      <c r="P51" s="107"/>
    </row>
    <row r="52" spans="1:16" ht="13.5" thickBot="1">
      <c r="A52" s="16">
        <v>4</v>
      </c>
      <c r="B52" s="30" t="s">
        <v>297</v>
      </c>
      <c r="C52" s="31"/>
      <c r="D52" s="107" t="s">
        <v>114</v>
      </c>
      <c r="E52" s="32"/>
      <c r="F52" s="30">
        <f t="shared" si="4"/>
        <v>110</v>
      </c>
      <c r="G52" s="113"/>
      <c r="H52" s="128">
        <f>S$15</f>
        <v>195.4</v>
      </c>
      <c r="I52" s="129"/>
      <c r="J52" s="107"/>
      <c r="K52" s="113"/>
      <c r="L52" s="107">
        <f>G51+G54</f>
        <v>232</v>
      </c>
      <c r="M52" s="127"/>
      <c r="N52" s="107"/>
      <c r="O52" s="113"/>
      <c r="P52" s="113">
        <f>IF(L52&gt;H52,1,0)</f>
        <v>1</v>
      </c>
    </row>
    <row r="53" spans="1:16">
      <c r="A53" s="21">
        <v>6</v>
      </c>
      <c r="B53" s="26" t="s">
        <v>297</v>
      </c>
      <c r="C53" s="27"/>
      <c r="D53" s="30"/>
      <c r="E53" s="32"/>
      <c r="F53" s="26">
        <f t="shared" si="4"/>
        <v>110</v>
      </c>
      <c r="G53" s="115"/>
      <c r="H53" s="107"/>
      <c r="I53" s="127"/>
      <c r="J53" s="104"/>
      <c r="K53" s="115"/>
      <c r="L53" s="107"/>
      <c r="M53" s="127"/>
      <c r="N53" s="104"/>
      <c r="O53" s="115"/>
      <c r="P53" s="107"/>
    </row>
    <row r="54" spans="1:16">
      <c r="A54" s="21">
        <v>7</v>
      </c>
      <c r="B54" s="30" t="s">
        <v>297</v>
      </c>
      <c r="C54" s="31" t="s">
        <v>111</v>
      </c>
      <c r="D54" s="30"/>
      <c r="E54" s="32"/>
      <c r="F54" s="30">
        <f t="shared" si="4"/>
        <v>110</v>
      </c>
      <c r="G54" s="130">
        <f>S$17</f>
        <v>116</v>
      </c>
      <c r="H54" s="107"/>
      <c r="I54" s="127"/>
      <c r="J54" s="107"/>
      <c r="K54" s="113">
        <f>F53+F54+F55</f>
        <v>330</v>
      </c>
      <c r="L54" s="107"/>
      <c r="M54" s="127"/>
      <c r="N54" s="107"/>
      <c r="O54" s="113">
        <f>IF(K54&gt;G54,1,0)</f>
        <v>1</v>
      </c>
      <c r="P54" s="107"/>
    </row>
    <row r="55" spans="1:16" ht="13.5" thickBot="1">
      <c r="A55" s="21">
        <v>8</v>
      </c>
      <c r="B55" s="34" t="s">
        <v>297</v>
      </c>
      <c r="C55" s="35"/>
      <c r="D55" s="34"/>
      <c r="E55" s="32"/>
      <c r="F55" s="34">
        <f t="shared" si="4"/>
        <v>110</v>
      </c>
      <c r="G55" s="114"/>
      <c r="H55" s="108"/>
      <c r="I55" s="127"/>
      <c r="J55" s="108"/>
      <c r="K55" s="114"/>
      <c r="L55" s="108"/>
      <c r="M55" s="127"/>
      <c r="N55" s="108"/>
      <c r="O55" s="114"/>
      <c r="P55" s="108"/>
    </row>
    <row r="56" spans="1:16">
      <c r="A56" s="21">
        <v>10</v>
      </c>
      <c r="B56" s="26" t="s">
        <v>297</v>
      </c>
      <c r="C56" s="27"/>
      <c r="D56" s="26"/>
      <c r="E56" s="32"/>
      <c r="F56" s="26">
        <f t="shared" si="4"/>
        <v>110</v>
      </c>
      <c r="G56" s="115"/>
      <c r="H56" s="104"/>
      <c r="I56" s="127"/>
      <c r="J56" s="104"/>
      <c r="K56" s="115"/>
      <c r="L56" s="104"/>
      <c r="M56" s="127"/>
      <c r="N56" s="104"/>
      <c r="O56" s="115"/>
      <c r="P56" s="104"/>
    </row>
    <row r="57" spans="1:16">
      <c r="A57" s="21">
        <v>11</v>
      </c>
      <c r="B57" s="30" t="s">
        <v>297</v>
      </c>
      <c r="C57" s="31" t="s">
        <v>111</v>
      </c>
      <c r="D57" s="30"/>
      <c r="E57" s="32"/>
      <c r="F57" s="30">
        <f t="shared" si="4"/>
        <v>110</v>
      </c>
      <c r="G57" s="130">
        <f>S$17</f>
        <v>116</v>
      </c>
      <c r="H57" s="107"/>
      <c r="I57" s="127"/>
      <c r="J57" s="107"/>
      <c r="K57" s="113">
        <f>F56+F57+F58</f>
        <v>330</v>
      </c>
      <c r="L57" s="107"/>
      <c r="M57" s="127"/>
      <c r="N57" s="107"/>
      <c r="O57" s="113">
        <f>IF(K57&gt;G57,1,0)</f>
        <v>1</v>
      </c>
      <c r="P57" s="107"/>
    </row>
    <row r="58" spans="1:16" ht="13.5" thickBot="1">
      <c r="A58" s="21">
        <v>12</v>
      </c>
      <c r="B58" s="30" t="s">
        <v>297</v>
      </c>
      <c r="C58" s="31"/>
      <c r="D58" s="30" t="s">
        <v>124</v>
      </c>
      <c r="E58" s="32"/>
      <c r="F58" s="30">
        <f t="shared" si="4"/>
        <v>110</v>
      </c>
      <c r="G58" s="113"/>
      <c r="H58" s="128">
        <f>S$16</f>
        <v>144.30000000000001</v>
      </c>
      <c r="I58" s="129"/>
      <c r="J58" s="107"/>
      <c r="K58" s="113"/>
      <c r="L58" s="107">
        <f>G57+G60</f>
        <v>188.7</v>
      </c>
      <c r="M58" s="127"/>
      <c r="N58" s="107"/>
      <c r="O58" s="113"/>
      <c r="P58" s="113">
        <f>IF(L58&gt;H58,1,0)</f>
        <v>1</v>
      </c>
    </row>
    <row r="59" spans="1:16">
      <c r="A59" s="21">
        <v>14</v>
      </c>
      <c r="B59" s="26" t="s">
        <v>297</v>
      </c>
      <c r="C59" s="27"/>
      <c r="D59" s="30"/>
      <c r="E59" s="32"/>
      <c r="F59" s="26">
        <f t="shared" si="4"/>
        <v>110</v>
      </c>
      <c r="G59" s="115"/>
      <c r="H59" s="107"/>
      <c r="I59" s="127"/>
      <c r="J59" s="104"/>
      <c r="K59" s="115"/>
      <c r="L59" s="107"/>
      <c r="M59" s="127"/>
      <c r="N59" s="104"/>
      <c r="O59" s="115"/>
      <c r="P59" s="107"/>
    </row>
    <row r="60" spans="1:16">
      <c r="A60" s="21">
        <v>15</v>
      </c>
      <c r="B60" s="30" t="s">
        <v>297</v>
      </c>
      <c r="C60" s="31" t="s">
        <v>128</v>
      </c>
      <c r="D60" s="30"/>
      <c r="E60" s="32"/>
      <c r="F60" s="30">
        <f t="shared" si="4"/>
        <v>110</v>
      </c>
      <c r="G60" s="130">
        <f>S$19</f>
        <v>72.7</v>
      </c>
      <c r="H60" s="107"/>
      <c r="I60" s="127"/>
      <c r="J60" s="107"/>
      <c r="K60" s="113">
        <f>F59+F60+F61</f>
        <v>330</v>
      </c>
      <c r="L60" s="107"/>
      <c r="M60" s="127"/>
      <c r="N60" s="107"/>
      <c r="O60" s="113">
        <f>IF(K60&gt;G60,1,0)</f>
        <v>1</v>
      </c>
      <c r="P60" s="107"/>
    </row>
    <row r="61" spans="1:16" ht="13.5" thickBot="1">
      <c r="A61" s="21">
        <v>16</v>
      </c>
      <c r="B61" s="34" t="s">
        <v>297</v>
      </c>
      <c r="C61" s="35"/>
      <c r="D61" s="34"/>
      <c r="E61" s="32"/>
      <c r="F61" s="34">
        <f t="shared" si="4"/>
        <v>110</v>
      </c>
      <c r="G61" s="114"/>
      <c r="H61" s="108"/>
      <c r="I61" s="127"/>
      <c r="J61" s="108"/>
      <c r="K61" s="114"/>
      <c r="L61" s="108"/>
      <c r="M61" s="127"/>
      <c r="N61" s="108"/>
      <c r="O61" s="114"/>
      <c r="P61" s="108"/>
    </row>
    <row r="62" spans="1:16">
      <c r="A62" s="21">
        <v>18</v>
      </c>
      <c r="B62" s="26" t="s">
        <v>297</v>
      </c>
      <c r="C62" s="27"/>
      <c r="D62" s="26"/>
      <c r="E62" s="32"/>
      <c r="F62" s="26">
        <f t="shared" si="4"/>
        <v>110</v>
      </c>
      <c r="G62" s="115"/>
      <c r="H62" s="104"/>
      <c r="I62" s="127"/>
      <c r="J62" s="104"/>
      <c r="K62" s="115"/>
      <c r="L62" s="104"/>
      <c r="M62" s="127"/>
      <c r="N62" s="104"/>
      <c r="O62" s="115"/>
      <c r="P62" s="104"/>
    </row>
    <row r="63" spans="1:16">
      <c r="A63" s="21">
        <v>19</v>
      </c>
      <c r="B63" s="30" t="s">
        <v>71</v>
      </c>
      <c r="C63" s="31" t="s">
        <v>128</v>
      </c>
      <c r="D63" s="30"/>
      <c r="E63" s="32"/>
      <c r="F63" s="30">
        <f>S$23</f>
        <v>73.3</v>
      </c>
      <c r="G63" s="130">
        <f>$S$19</f>
        <v>72.7</v>
      </c>
      <c r="H63" s="107"/>
      <c r="I63" s="127"/>
      <c r="J63" s="107"/>
      <c r="K63" s="113">
        <f>F62+F63+F64</f>
        <v>256.60000000000002</v>
      </c>
      <c r="L63" s="107"/>
      <c r="M63" s="127"/>
      <c r="N63" s="107"/>
      <c r="O63" s="113">
        <f>IF(K63&gt;G63,1,0)</f>
        <v>1</v>
      </c>
      <c r="P63" s="107"/>
    </row>
    <row r="64" spans="1:16" ht="13.5" thickBot="1">
      <c r="A64" s="21">
        <v>20</v>
      </c>
      <c r="B64" s="30" t="s">
        <v>71</v>
      </c>
      <c r="C64" s="31"/>
      <c r="D64" s="30" t="s">
        <v>124</v>
      </c>
      <c r="E64" s="32"/>
      <c r="F64" s="30">
        <f t="shared" ref="F64:F69" si="5">S$23</f>
        <v>73.3</v>
      </c>
      <c r="G64" s="113"/>
      <c r="H64" s="128">
        <f>S$16</f>
        <v>144.30000000000001</v>
      </c>
      <c r="I64" s="129"/>
      <c r="J64" s="107"/>
      <c r="K64" s="113"/>
      <c r="L64" s="107">
        <f>G63+G66</f>
        <v>145.4</v>
      </c>
      <c r="M64" s="127"/>
      <c r="N64" s="107"/>
      <c r="O64" s="113"/>
      <c r="P64" s="113">
        <f>IF(L64&gt;H64,1,0)</f>
        <v>1</v>
      </c>
    </row>
    <row r="65" spans="1:16">
      <c r="A65" s="21">
        <v>22</v>
      </c>
      <c r="B65" s="26" t="s">
        <v>71</v>
      </c>
      <c r="C65" s="27"/>
      <c r="D65" s="30"/>
      <c r="E65" s="32"/>
      <c r="F65" s="26">
        <f t="shared" si="5"/>
        <v>73.3</v>
      </c>
      <c r="G65" s="115"/>
      <c r="H65" s="107"/>
      <c r="I65" s="127"/>
      <c r="J65" s="104"/>
      <c r="K65" s="115"/>
      <c r="L65" s="107"/>
      <c r="M65" s="127"/>
      <c r="N65" s="104"/>
      <c r="O65" s="115"/>
      <c r="P65" s="107"/>
    </row>
    <row r="66" spans="1:16">
      <c r="A66" s="21">
        <v>23</v>
      </c>
      <c r="B66" s="30" t="s">
        <v>71</v>
      </c>
      <c r="C66" s="31" t="s">
        <v>128</v>
      </c>
      <c r="D66" s="30"/>
      <c r="E66" s="32"/>
      <c r="F66" s="30">
        <f t="shared" si="5"/>
        <v>73.3</v>
      </c>
      <c r="G66" s="130">
        <f>S$19</f>
        <v>72.7</v>
      </c>
      <c r="H66" s="107"/>
      <c r="I66" s="127"/>
      <c r="J66" s="107"/>
      <c r="K66" s="113">
        <f>F65+F66+F67</f>
        <v>219.89999999999998</v>
      </c>
      <c r="L66" s="107"/>
      <c r="M66" s="127"/>
      <c r="N66" s="107"/>
      <c r="O66" s="113">
        <f>IF(K66&gt;G66,1,0)</f>
        <v>1</v>
      </c>
      <c r="P66" s="107"/>
    </row>
    <row r="67" spans="1:16" ht="13.5" thickBot="1">
      <c r="A67" s="21">
        <v>24</v>
      </c>
      <c r="B67" s="34" t="s">
        <v>71</v>
      </c>
      <c r="C67" s="31"/>
      <c r="D67" s="34"/>
      <c r="E67" s="32"/>
      <c r="F67" s="34">
        <f t="shared" si="5"/>
        <v>73.3</v>
      </c>
      <c r="G67" s="113"/>
      <c r="H67" s="107"/>
      <c r="I67" s="127"/>
      <c r="J67" s="108"/>
      <c r="K67" s="114"/>
      <c r="L67" s="108"/>
      <c r="M67" s="127"/>
      <c r="N67" s="108"/>
      <c r="O67" s="114"/>
      <c r="P67" s="108"/>
    </row>
    <row r="68" spans="1:16">
      <c r="A68" s="21">
        <v>26</v>
      </c>
      <c r="B68" s="37" t="s">
        <v>71</v>
      </c>
      <c r="C68" s="37"/>
      <c r="D68" s="26"/>
      <c r="E68" s="32"/>
      <c r="F68" s="37">
        <f t="shared" si="5"/>
        <v>73.3</v>
      </c>
      <c r="G68" s="37"/>
      <c r="H68" s="115"/>
      <c r="I68" s="127"/>
      <c r="J68" s="104"/>
      <c r="K68" s="104">
        <f>F68+F69</f>
        <v>146.6</v>
      </c>
      <c r="L68" s="127"/>
      <c r="M68" s="127"/>
      <c r="N68" s="104"/>
      <c r="O68" s="113">
        <f>IF(K68&gt;G69,1,0)</f>
        <v>1</v>
      </c>
      <c r="P68" s="127"/>
    </row>
    <row r="69" spans="1:16" ht="13.5" thickBot="1">
      <c r="A69" s="22">
        <v>27</v>
      </c>
      <c r="B69" s="38" t="s">
        <v>71</v>
      </c>
      <c r="C69" s="38" t="s">
        <v>142</v>
      </c>
      <c r="D69" s="34" t="s">
        <v>128</v>
      </c>
      <c r="E69" s="32"/>
      <c r="F69" s="38">
        <f t="shared" si="5"/>
        <v>73.3</v>
      </c>
      <c r="G69" s="132">
        <f>S$23</f>
        <v>73.3</v>
      </c>
      <c r="H69" s="133">
        <f>$S$19</f>
        <v>72.7</v>
      </c>
      <c r="I69" s="127"/>
      <c r="J69" s="108"/>
      <c r="K69" s="108"/>
      <c r="L69" s="127"/>
      <c r="M69" s="127"/>
      <c r="N69" s="108"/>
      <c r="O69" s="108"/>
      <c r="P69" s="127"/>
    </row>
    <row r="70" spans="1:16" ht="13.5" thickBot="1"/>
    <row r="71" spans="1:16" ht="16.5" thickBot="1">
      <c r="A71" s="15" t="s">
        <v>31</v>
      </c>
      <c r="B71" s="23"/>
      <c r="C71" s="139" t="s">
        <v>146</v>
      </c>
      <c r="D71" s="138"/>
      <c r="E71" s="140"/>
      <c r="F71" s="23" t="s">
        <v>291</v>
      </c>
      <c r="G71" s="23"/>
      <c r="H71" s="23"/>
      <c r="I71" s="23"/>
      <c r="J71" s="23" t="s">
        <v>292</v>
      </c>
      <c r="K71" s="23"/>
      <c r="L71" s="23"/>
      <c r="M71" s="23"/>
      <c r="N71" s="23" t="s">
        <v>293</v>
      </c>
      <c r="O71" s="23" t="s">
        <v>294</v>
      </c>
      <c r="P71" s="15" t="s">
        <v>295</v>
      </c>
    </row>
    <row r="72" spans="1:16">
      <c r="A72" s="14">
        <v>2</v>
      </c>
      <c r="B72" s="28" t="s">
        <v>297</v>
      </c>
      <c r="C72" s="26"/>
      <c r="D72" s="27"/>
      <c r="E72" s="32"/>
      <c r="F72" s="26">
        <f t="shared" ref="F72:F77" si="6">S$21</f>
        <v>110</v>
      </c>
      <c r="G72" s="26"/>
      <c r="H72" s="27"/>
      <c r="I72" s="32"/>
      <c r="J72" s="26"/>
      <c r="K72" s="27"/>
      <c r="L72" s="26"/>
      <c r="M72" s="32"/>
      <c r="N72" s="26"/>
      <c r="O72" s="27"/>
      <c r="P72" s="26"/>
    </row>
    <row r="73" spans="1:16">
      <c r="A73" s="16">
        <v>3</v>
      </c>
      <c r="B73" s="32" t="s">
        <v>297</v>
      </c>
      <c r="C73" s="30" t="s">
        <v>111</v>
      </c>
      <c r="D73" s="31"/>
      <c r="E73" s="32"/>
      <c r="F73" s="30">
        <f t="shared" si="6"/>
        <v>110</v>
      </c>
      <c r="G73" s="130">
        <f>S$17</f>
        <v>116</v>
      </c>
      <c r="H73" s="31"/>
      <c r="I73" s="127"/>
      <c r="J73" s="107"/>
      <c r="K73" s="113">
        <f>F72+F73+F74</f>
        <v>330</v>
      </c>
      <c r="L73" s="107"/>
      <c r="M73" s="127"/>
      <c r="N73" s="107"/>
      <c r="O73" s="113">
        <f>IF(K73&gt;G73,1,0)</f>
        <v>1</v>
      </c>
      <c r="P73" s="107"/>
    </row>
    <row r="74" spans="1:16" ht="13.5" thickBot="1">
      <c r="A74" s="16">
        <v>4</v>
      </c>
      <c r="B74" s="32" t="s">
        <v>297</v>
      </c>
      <c r="C74" s="30"/>
      <c r="D74" s="31" t="s">
        <v>124</v>
      </c>
      <c r="E74" s="32"/>
      <c r="F74" s="30">
        <f t="shared" si="6"/>
        <v>110</v>
      </c>
      <c r="G74" s="30"/>
      <c r="H74" s="128">
        <f>S$16</f>
        <v>144.30000000000001</v>
      </c>
      <c r="I74" s="129"/>
      <c r="J74" s="107"/>
      <c r="K74" s="113"/>
      <c r="L74" s="107">
        <f>G73+G76</f>
        <v>232</v>
      </c>
      <c r="M74" s="127"/>
      <c r="N74" s="107"/>
      <c r="O74" s="113"/>
      <c r="P74" s="113">
        <f>IF(L74&gt;H74,1,0)</f>
        <v>1</v>
      </c>
    </row>
    <row r="75" spans="1:16">
      <c r="A75" s="21">
        <v>6</v>
      </c>
      <c r="B75" s="28" t="s">
        <v>297</v>
      </c>
      <c r="C75" s="30"/>
      <c r="D75" s="31"/>
      <c r="E75" s="32"/>
      <c r="F75" s="26">
        <f t="shared" si="6"/>
        <v>110</v>
      </c>
      <c r="G75" s="30"/>
      <c r="H75" s="31"/>
      <c r="I75" s="127"/>
      <c r="J75" s="104"/>
      <c r="K75" s="115"/>
      <c r="L75" s="107"/>
      <c r="M75" s="127"/>
      <c r="N75" s="104"/>
      <c r="O75" s="115"/>
      <c r="P75" s="107"/>
    </row>
    <row r="76" spans="1:16">
      <c r="A76" s="21">
        <v>7</v>
      </c>
      <c r="B76" s="32" t="s">
        <v>297</v>
      </c>
      <c r="C76" s="30" t="s">
        <v>111</v>
      </c>
      <c r="D76" s="31"/>
      <c r="E76" s="32"/>
      <c r="F76" s="30">
        <f t="shared" si="6"/>
        <v>110</v>
      </c>
      <c r="G76" s="130">
        <f>S$17</f>
        <v>116</v>
      </c>
      <c r="H76" s="31"/>
      <c r="I76" s="127"/>
      <c r="J76" s="107"/>
      <c r="K76" s="113">
        <f>F75+F76+F77</f>
        <v>330</v>
      </c>
      <c r="L76" s="107"/>
      <c r="M76" s="127"/>
      <c r="N76" s="107"/>
      <c r="O76" s="113">
        <f>IF(K76&gt;G76,1,0)</f>
        <v>1</v>
      </c>
      <c r="P76" s="107"/>
    </row>
    <row r="77" spans="1:16" ht="13.5" thickBot="1">
      <c r="A77" s="21">
        <v>8</v>
      </c>
      <c r="B77" s="36" t="s">
        <v>297</v>
      </c>
      <c r="C77" s="34"/>
      <c r="D77" s="35"/>
      <c r="E77" s="32"/>
      <c r="F77" s="34">
        <f t="shared" si="6"/>
        <v>110</v>
      </c>
      <c r="G77" s="34"/>
      <c r="H77" s="35"/>
      <c r="I77" s="127"/>
      <c r="J77" s="108"/>
      <c r="K77" s="114"/>
      <c r="L77" s="108"/>
      <c r="M77" s="127"/>
      <c r="N77" s="108"/>
      <c r="O77" s="114"/>
      <c r="P77" s="108"/>
    </row>
    <row r="78" spans="1:16">
      <c r="A78" s="21">
        <v>10</v>
      </c>
      <c r="B78" s="28" t="s">
        <v>71</v>
      </c>
      <c r="C78" s="26"/>
      <c r="D78" s="27"/>
      <c r="E78" s="32"/>
      <c r="F78" s="26">
        <f t="shared" ref="F78:F88" si="7">S$23</f>
        <v>73.3</v>
      </c>
      <c r="G78" s="26"/>
      <c r="H78" s="27"/>
      <c r="I78" s="127"/>
      <c r="J78" s="104"/>
      <c r="K78" s="115"/>
      <c r="L78" s="104"/>
      <c r="M78" s="127"/>
      <c r="N78" s="104"/>
      <c r="O78" s="115"/>
      <c r="P78" s="104"/>
    </row>
    <row r="79" spans="1:16">
      <c r="A79" s="21">
        <v>11</v>
      </c>
      <c r="B79" s="32" t="s">
        <v>71</v>
      </c>
      <c r="C79" s="30" t="s">
        <v>128</v>
      </c>
      <c r="D79" s="31"/>
      <c r="E79" s="32"/>
      <c r="F79" s="30">
        <f t="shared" si="7"/>
        <v>73.3</v>
      </c>
      <c r="G79" s="30">
        <f>S$19</f>
        <v>72.7</v>
      </c>
      <c r="H79" s="31"/>
      <c r="I79" s="127"/>
      <c r="J79" s="107"/>
      <c r="K79" s="113">
        <f>F78+F79+F80</f>
        <v>219.89999999999998</v>
      </c>
      <c r="L79" s="107"/>
      <c r="M79" s="127"/>
      <c r="N79" s="107"/>
      <c r="O79" s="113">
        <f>IF(K79&gt;G79,1,0)</f>
        <v>1</v>
      </c>
      <c r="P79" s="107"/>
    </row>
    <row r="80" spans="1:16" ht="13.5" thickBot="1">
      <c r="A80" s="21">
        <v>12</v>
      </c>
      <c r="B80" s="32" t="s">
        <v>71</v>
      </c>
      <c r="C80" s="30"/>
      <c r="D80" s="31" t="s">
        <v>124</v>
      </c>
      <c r="E80" s="32"/>
      <c r="F80" s="30">
        <f t="shared" si="7"/>
        <v>73.3</v>
      </c>
      <c r="G80" s="30"/>
      <c r="H80" s="128">
        <f>S$16</f>
        <v>144.30000000000001</v>
      </c>
      <c r="I80" s="129"/>
      <c r="J80" s="107"/>
      <c r="K80" s="113"/>
      <c r="L80" s="107">
        <f>G79+G82</f>
        <v>145.4</v>
      </c>
      <c r="M80" s="127"/>
      <c r="N80" s="107"/>
      <c r="O80" s="113"/>
      <c r="P80" s="113">
        <f>IF(L80&gt;H80,1,0)</f>
        <v>1</v>
      </c>
    </row>
    <row r="81" spans="1:16">
      <c r="A81" s="21">
        <v>14</v>
      </c>
      <c r="B81" s="28" t="s">
        <v>71</v>
      </c>
      <c r="C81" s="30"/>
      <c r="D81" s="31"/>
      <c r="E81" s="32"/>
      <c r="F81" s="26">
        <f t="shared" si="7"/>
        <v>73.3</v>
      </c>
      <c r="G81" s="30"/>
      <c r="H81" s="31"/>
      <c r="I81" s="127"/>
      <c r="J81" s="104"/>
      <c r="K81" s="115"/>
      <c r="L81" s="107"/>
      <c r="M81" s="127"/>
      <c r="N81" s="104"/>
      <c r="O81" s="115"/>
      <c r="P81" s="107"/>
    </row>
    <row r="82" spans="1:16">
      <c r="A82" s="21">
        <v>15</v>
      </c>
      <c r="B82" s="32" t="s">
        <v>71</v>
      </c>
      <c r="C82" s="30" t="s">
        <v>128</v>
      </c>
      <c r="D82" s="31"/>
      <c r="E82" s="32"/>
      <c r="F82" s="30">
        <f t="shared" si="7"/>
        <v>73.3</v>
      </c>
      <c r="G82" s="30">
        <f>S$19</f>
        <v>72.7</v>
      </c>
      <c r="H82" s="31"/>
      <c r="I82" s="127"/>
      <c r="J82" s="107"/>
      <c r="K82" s="113">
        <f>F81+F82+F83</f>
        <v>219.89999999999998</v>
      </c>
      <c r="L82" s="107"/>
      <c r="M82" s="127"/>
      <c r="N82" s="107"/>
      <c r="O82" s="113">
        <f>IF(K82&gt;G82,1,0)</f>
        <v>1</v>
      </c>
      <c r="P82" s="107"/>
    </row>
    <row r="83" spans="1:16" ht="13.5" thickBot="1">
      <c r="A83" s="21">
        <v>16</v>
      </c>
      <c r="B83" s="36" t="s">
        <v>71</v>
      </c>
      <c r="C83" s="30"/>
      <c r="D83" s="35"/>
      <c r="E83" s="32"/>
      <c r="F83" s="34">
        <f t="shared" si="7"/>
        <v>73.3</v>
      </c>
      <c r="G83" s="30"/>
      <c r="H83" s="35"/>
      <c r="I83" s="127"/>
      <c r="J83" s="107"/>
      <c r="K83" s="114"/>
      <c r="L83" s="108"/>
      <c r="M83" s="127"/>
      <c r="N83" s="108"/>
      <c r="O83" s="114"/>
      <c r="P83" s="108"/>
    </row>
    <row r="84" spans="1:16">
      <c r="A84" s="21">
        <v>18</v>
      </c>
      <c r="B84" s="4" t="s">
        <v>71</v>
      </c>
      <c r="C84" s="26" t="s">
        <v>128</v>
      </c>
      <c r="D84" s="28"/>
      <c r="E84" s="32"/>
      <c r="F84" s="1">
        <f t="shared" si="7"/>
        <v>73.3</v>
      </c>
      <c r="G84" s="26">
        <f>S$19</f>
        <v>72.7</v>
      </c>
      <c r="H84" s="28"/>
      <c r="I84" s="127"/>
      <c r="J84" s="104"/>
      <c r="K84" s="27">
        <f>F84+F85</f>
        <v>146.6</v>
      </c>
      <c r="L84" s="28"/>
      <c r="M84" s="127"/>
      <c r="N84" s="104"/>
      <c r="O84" s="27">
        <f>IF(K84&gt;G84,1,0)</f>
        <v>1</v>
      </c>
      <c r="P84" s="28"/>
    </row>
    <row r="85" spans="1:16" ht="13.5" thickBot="1">
      <c r="A85" s="21">
        <v>20</v>
      </c>
      <c r="B85" s="5" t="s">
        <v>71</v>
      </c>
      <c r="C85" s="34"/>
      <c r="D85" s="32"/>
      <c r="E85" s="32"/>
      <c r="F85" s="3">
        <f>S$23</f>
        <v>73.3</v>
      </c>
      <c r="G85" s="34"/>
      <c r="H85" s="32"/>
      <c r="I85" s="127"/>
      <c r="J85" s="107"/>
      <c r="K85" s="35"/>
      <c r="L85" s="32"/>
      <c r="M85" s="127"/>
      <c r="N85" s="107"/>
      <c r="O85" s="35"/>
      <c r="P85" s="32"/>
    </row>
    <row r="86" spans="1:16">
      <c r="A86" s="21">
        <v>22</v>
      </c>
      <c r="B86" s="4" t="s">
        <v>71</v>
      </c>
      <c r="C86" s="26" t="s">
        <v>128</v>
      </c>
      <c r="D86" s="32"/>
      <c r="E86" s="32"/>
      <c r="F86" s="1">
        <f t="shared" si="7"/>
        <v>73.3</v>
      </c>
      <c r="G86" s="26">
        <f>S$19</f>
        <v>72.7</v>
      </c>
      <c r="H86" s="32"/>
      <c r="I86" s="129"/>
      <c r="J86" s="107"/>
      <c r="K86" s="27">
        <f>F86+F87</f>
        <v>146.6</v>
      </c>
      <c r="L86" s="32"/>
      <c r="M86" s="127"/>
      <c r="N86" s="107"/>
      <c r="O86" s="27">
        <f>IF(K86&gt;G86,1,0)</f>
        <v>1</v>
      </c>
      <c r="P86" s="32"/>
    </row>
    <row r="87" spans="1:16" ht="13.5" thickBot="1">
      <c r="A87" s="21">
        <v>24</v>
      </c>
      <c r="B87" s="5" t="s">
        <v>71</v>
      </c>
      <c r="C87" s="34"/>
      <c r="D87" s="32"/>
      <c r="E87" s="32"/>
      <c r="F87" s="3">
        <f t="shared" si="7"/>
        <v>73.3</v>
      </c>
      <c r="G87" s="34"/>
      <c r="H87" s="32"/>
      <c r="I87" s="127"/>
      <c r="J87" s="108"/>
      <c r="K87" s="35"/>
      <c r="L87" s="32"/>
      <c r="M87" s="127"/>
      <c r="N87" s="108"/>
      <c r="O87" s="35"/>
      <c r="P87" s="32"/>
    </row>
    <row r="88" spans="1:16" ht="13.5" thickBot="1">
      <c r="A88" s="22">
        <v>26</v>
      </c>
      <c r="B88" s="134" t="s">
        <v>71</v>
      </c>
      <c r="C88" s="32"/>
      <c r="D88" s="32"/>
      <c r="E88" s="32"/>
      <c r="F88" s="134">
        <f t="shared" si="7"/>
        <v>73.3</v>
      </c>
      <c r="G88" s="32"/>
      <c r="H88" s="32"/>
      <c r="I88" s="127"/>
      <c r="J88" s="127"/>
      <c r="K88" s="127"/>
      <c r="L88" s="127"/>
      <c r="M88" s="127"/>
      <c r="N88" s="127"/>
      <c r="O88" s="127"/>
      <c r="P88" s="127"/>
    </row>
    <row r="89" spans="1:16" ht="13.5" thickBot="1">
      <c r="A89" s="18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</row>
    <row r="90" spans="1:16" ht="16.5" thickBot="1">
      <c r="A90" s="15" t="s">
        <v>31</v>
      </c>
      <c r="B90" s="23"/>
      <c r="C90" s="139" t="s">
        <v>172</v>
      </c>
      <c r="D90" s="138"/>
      <c r="E90" s="140"/>
      <c r="F90" s="23" t="s">
        <v>291</v>
      </c>
      <c r="G90" s="23"/>
      <c r="H90" s="23"/>
      <c r="I90" s="23"/>
      <c r="J90" s="23" t="s">
        <v>292</v>
      </c>
      <c r="K90" s="23"/>
      <c r="L90" s="23"/>
      <c r="M90" s="23"/>
      <c r="N90" s="23" t="s">
        <v>293</v>
      </c>
      <c r="O90" s="23" t="s">
        <v>294</v>
      </c>
      <c r="P90" s="15" t="s">
        <v>295</v>
      </c>
    </row>
    <row r="91" spans="1:16" ht="15.75">
      <c r="A91" s="14">
        <v>2</v>
      </c>
      <c r="B91" s="1" t="s">
        <v>71</v>
      </c>
      <c r="C91" s="122"/>
      <c r="D91" s="122"/>
      <c r="E91" s="122"/>
      <c r="F91" s="1">
        <f t="shared" ref="F91:F98" si="8">S$23</f>
        <v>73.3</v>
      </c>
      <c r="G91" s="32"/>
      <c r="H91" s="32"/>
      <c r="I91" s="32"/>
      <c r="J91" s="1"/>
      <c r="K91" s="32"/>
      <c r="L91" s="32"/>
      <c r="M91" s="32"/>
      <c r="N91" s="1"/>
      <c r="O91" s="32"/>
    </row>
    <row r="92" spans="1:16" ht="16.5" thickBot="1">
      <c r="A92" s="16">
        <v>4</v>
      </c>
      <c r="B92" s="3" t="s">
        <v>71</v>
      </c>
      <c r="C92" s="122"/>
      <c r="D92" s="122"/>
      <c r="E92" s="122"/>
      <c r="F92" s="3">
        <f t="shared" si="8"/>
        <v>73.3</v>
      </c>
      <c r="G92" s="32"/>
      <c r="H92" s="32"/>
      <c r="I92" s="32"/>
      <c r="J92" s="3"/>
      <c r="K92" s="32"/>
      <c r="L92" s="32"/>
      <c r="M92" s="32"/>
      <c r="N92" s="3"/>
      <c r="O92" s="32"/>
    </row>
    <row r="93" spans="1:16" ht="15.75">
      <c r="A93" s="16">
        <v>6</v>
      </c>
      <c r="B93" s="1" t="s">
        <v>71</v>
      </c>
      <c r="C93" s="122"/>
      <c r="D93" s="122"/>
      <c r="E93" s="122"/>
      <c r="F93" s="1">
        <f t="shared" si="8"/>
        <v>73.3</v>
      </c>
      <c r="J93" s="1"/>
      <c r="N93" s="1"/>
    </row>
    <row r="94" spans="1:16" ht="16.5" thickBot="1">
      <c r="A94" s="21">
        <v>8</v>
      </c>
      <c r="B94" s="3" t="s">
        <v>71</v>
      </c>
      <c r="C94" s="122"/>
      <c r="D94" s="122"/>
      <c r="E94" s="122"/>
      <c r="F94" s="3">
        <f t="shared" si="8"/>
        <v>73.3</v>
      </c>
      <c r="G94" s="123"/>
      <c r="H94" s="123"/>
      <c r="I94" s="123"/>
      <c r="J94" s="3"/>
      <c r="K94" s="123"/>
      <c r="L94" s="123"/>
      <c r="M94" s="123"/>
      <c r="N94" s="3"/>
      <c r="O94" s="123"/>
    </row>
    <row r="95" spans="1:16">
      <c r="A95" s="21">
        <v>10</v>
      </c>
      <c r="B95" s="1" t="s">
        <v>71</v>
      </c>
      <c r="C95" s="32"/>
      <c r="D95" s="32"/>
      <c r="E95" s="32"/>
      <c r="F95" s="1">
        <f t="shared" si="8"/>
        <v>73.3</v>
      </c>
      <c r="G95" s="7"/>
      <c r="H95" s="7"/>
      <c r="I95" s="7"/>
      <c r="J95" s="1"/>
      <c r="K95" s="7"/>
      <c r="L95" s="7"/>
      <c r="M95" s="7"/>
      <c r="N95" s="1"/>
      <c r="O95" s="7"/>
    </row>
    <row r="96" spans="1:16" ht="13.5" thickBot="1">
      <c r="A96" s="21">
        <v>12</v>
      </c>
      <c r="B96" s="3" t="s">
        <v>71</v>
      </c>
      <c r="C96" s="32"/>
      <c r="D96" s="32"/>
      <c r="E96" s="32"/>
      <c r="F96" s="3">
        <f t="shared" si="8"/>
        <v>73.3</v>
      </c>
      <c r="G96" s="124"/>
      <c r="H96" s="124"/>
      <c r="I96" s="124"/>
      <c r="J96" s="3"/>
      <c r="K96" s="124"/>
      <c r="L96" s="124"/>
      <c r="M96" s="124"/>
      <c r="N96" s="3"/>
      <c r="O96" s="124"/>
    </row>
    <row r="97" spans="1:15">
      <c r="A97" s="21">
        <v>14</v>
      </c>
      <c r="B97" s="1" t="s">
        <v>71</v>
      </c>
      <c r="C97" s="32"/>
      <c r="D97" s="32"/>
      <c r="E97" s="32"/>
      <c r="F97" s="1">
        <f t="shared" si="8"/>
        <v>73.3</v>
      </c>
      <c r="G97" s="124"/>
      <c r="H97" s="124"/>
      <c r="I97" s="124"/>
      <c r="J97" s="1"/>
      <c r="K97" s="124"/>
      <c r="L97" s="124"/>
      <c r="M97" s="124"/>
      <c r="N97" s="1"/>
      <c r="O97" s="124"/>
    </row>
    <row r="98" spans="1:15" ht="13.5" thickBot="1">
      <c r="A98" s="22">
        <v>16</v>
      </c>
      <c r="B98" s="3" t="s">
        <v>71</v>
      </c>
      <c r="C98" s="32"/>
      <c r="D98" s="32"/>
      <c r="E98" s="32"/>
      <c r="F98" s="3">
        <f t="shared" si="8"/>
        <v>73.3</v>
      </c>
      <c r="G98" s="54"/>
      <c r="H98" s="54"/>
      <c r="I98" s="54"/>
      <c r="J98" s="3"/>
      <c r="K98" s="54"/>
      <c r="L98" s="54"/>
      <c r="M98" s="54"/>
      <c r="N98" s="3"/>
      <c r="O98" s="54"/>
    </row>
    <row r="99" spans="1:15"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ht="15.75" thickBot="1">
      <c r="A100" s="68" t="s">
        <v>182</v>
      </c>
      <c r="B100" s="66"/>
      <c r="C100" s="70"/>
      <c r="D100" s="66"/>
      <c r="E100" s="123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</row>
    <row r="101" spans="1:15">
      <c r="A101" s="53" t="s">
        <v>184</v>
      </c>
      <c r="B101" s="1" t="s">
        <v>185</v>
      </c>
      <c r="C101" s="1" t="s">
        <v>185</v>
      </c>
      <c r="D101" s="1"/>
      <c r="E101" s="7"/>
      <c r="F101" s="54"/>
      <c r="G101" s="54"/>
      <c r="H101" s="54"/>
      <c r="I101" s="54"/>
      <c r="J101" s="54"/>
      <c r="K101" s="54"/>
      <c r="L101" s="54"/>
      <c r="M101" s="54"/>
      <c r="N101" s="54"/>
      <c r="O101" s="54"/>
    </row>
    <row r="102" spans="1:15" ht="13.5" thickBot="1">
      <c r="A102" s="53" t="s">
        <v>191</v>
      </c>
      <c r="B102" s="3" t="s">
        <v>185</v>
      </c>
      <c r="C102" s="61"/>
      <c r="D102" s="61" t="s">
        <v>193</v>
      </c>
      <c r="E102" s="124"/>
      <c r="F102" s="54"/>
      <c r="G102" s="54"/>
      <c r="H102" s="54"/>
      <c r="I102" s="54"/>
      <c r="J102" s="54"/>
      <c r="K102" s="54"/>
      <c r="L102" s="54"/>
      <c r="M102" s="54"/>
      <c r="N102" s="54"/>
      <c r="O102" s="54"/>
    </row>
    <row r="103" spans="1:15">
      <c r="A103" s="53" t="s">
        <v>196</v>
      </c>
      <c r="B103" s="1" t="s">
        <v>185</v>
      </c>
      <c r="C103" s="2" t="s">
        <v>185</v>
      </c>
      <c r="D103" s="61"/>
      <c r="E103" s="124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1:15" ht="13.5" thickBot="1">
      <c r="A104" s="53" t="s">
        <v>200</v>
      </c>
      <c r="B104" s="3" t="s">
        <v>185</v>
      </c>
      <c r="C104" s="64"/>
      <c r="D104" s="62"/>
      <c r="E104" s="54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</row>
    <row r="105" spans="1:15">
      <c r="A105" s="53" t="s">
        <v>203</v>
      </c>
      <c r="B105" s="1" t="s">
        <v>185</v>
      </c>
      <c r="C105" s="1" t="s">
        <v>185</v>
      </c>
      <c r="D105" s="2"/>
      <c r="E105" s="7"/>
      <c r="F105" s="54"/>
      <c r="G105" s="54"/>
      <c r="H105" s="54"/>
      <c r="I105" s="54"/>
      <c r="J105" s="54"/>
      <c r="K105" s="54"/>
      <c r="L105" s="54"/>
      <c r="M105" s="54"/>
      <c r="N105" s="54"/>
      <c r="O105" s="54"/>
    </row>
    <row r="106" spans="1:15" ht="13.5" thickBot="1">
      <c r="A106" s="53" t="s">
        <v>207</v>
      </c>
      <c r="B106" s="3" t="s">
        <v>185</v>
      </c>
      <c r="C106" s="61"/>
      <c r="D106" s="61" t="s">
        <v>193</v>
      </c>
      <c r="E106" s="124"/>
      <c r="F106" s="54"/>
      <c r="G106" s="54"/>
      <c r="H106" s="54"/>
      <c r="I106" s="54"/>
      <c r="J106" s="54"/>
      <c r="K106" s="54"/>
      <c r="L106" s="54"/>
      <c r="M106" s="54"/>
      <c r="N106" s="54"/>
      <c r="O106" s="54"/>
    </row>
    <row r="107" spans="1:15">
      <c r="A107" s="53" t="s">
        <v>210</v>
      </c>
      <c r="B107" s="1" t="s">
        <v>185</v>
      </c>
      <c r="C107" s="2" t="s">
        <v>185</v>
      </c>
      <c r="D107" s="62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</row>
    <row r="108" spans="1:15" ht="13.5" thickBot="1">
      <c r="A108" s="53" t="s">
        <v>213</v>
      </c>
      <c r="B108" s="3" t="s">
        <v>185</v>
      </c>
      <c r="C108" s="64"/>
      <c r="D108" s="62"/>
      <c r="E108" s="54"/>
    </row>
    <row r="109" spans="1:15">
      <c r="A109" s="53" t="s">
        <v>215</v>
      </c>
      <c r="B109" s="1" t="s">
        <v>185</v>
      </c>
      <c r="C109" s="1" t="s">
        <v>185</v>
      </c>
      <c r="D109" s="2"/>
      <c r="E109" s="7"/>
    </row>
    <row r="110" spans="1:15" ht="13.5" thickBot="1">
      <c r="A110" s="53" t="s">
        <v>218</v>
      </c>
      <c r="B110" s="3" t="s">
        <v>185</v>
      </c>
      <c r="C110" s="61"/>
      <c r="D110" s="159" t="s">
        <v>193</v>
      </c>
      <c r="E110" s="161"/>
    </row>
    <row r="111" spans="1:15">
      <c r="A111" s="53" t="s">
        <v>221</v>
      </c>
      <c r="B111" s="1" t="s">
        <v>185</v>
      </c>
      <c r="C111" s="2" t="s">
        <v>185</v>
      </c>
      <c r="D111" s="62"/>
      <c r="E111" s="54"/>
    </row>
    <row r="112" spans="1:15">
      <c r="A112" s="53" t="s">
        <v>224</v>
      </c>
      <c r="B112" s="2" t="s">
        <v>185</v>
      </c>
      <c r="C112" s="62"/>
      <c r="D112" s="62"/>
      <c r="E112" s="54"/>
    </row>
    <row r="113" spans="1:5" ht="13.5" thickBot="1">
      <c r="A113" s="53" t="s">
        <v>226</v>
      </c>
      <c r="B113" s="3" t="s">
        <v>185</v>
      </c>
      <c r="C113" s="63"/>
      <c r="D113" s="63"/>
      <c r="E113" s="54"/>
    </row>
  </sheetData>
  <mergeCells count="1">
    <mergeCell ref="A3:C3"/>
  </mergeCells>
  <phoneticPr fontId="2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BGD Official</cp:lastModifiedBy>
  <cp:revision/>
  <dcterms:created xsi:type="dcterms:W3CDTF">2013-01-30T14:22:16Z</dcterms:created>
  <dcterms:modified xsi:type="dcterms:W3CDTF">2021-08-20T07:12:28Z</dcterms:modified>
  <cp:category/>
  <cp:contentStatus/>
</cp:coreProperties>
</file>